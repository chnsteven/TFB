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n\Desktop\GitHub\TFB\results\AIR\"/>
    </mc:Choice>
  </mc:AlternateContent>
  <xr:revisionPtr revIDLastSave="0" documentId="13_ncr:9_{AB4F69D2-AD7F-4B94-A22C-433754F6C2D7}" xr6:coauthVersionLast="47" xr6:coauthVersionMax="47" xr10:uidLastSave="{00000000-0000-0000-0000-000000000000}"/>
  <bookViews>
    <workbookView xWindow="13770" yWindow="3570" windowWidth="21790" windowHeight="15370" xr2:uid="{A4E81477-BC60-47BC-8D7A-A415BA9F350A}"/>
  </bookViews>
  <sheets>
    <sheet name="d12" sheetId="1" r:id="rId1"/>
    <sheet name="d24" sheetId="2" r:id="rId2"/>
    <sheet name="d36" sheetId="3" r:id="rId3"/>
    <sheet name="d48" sheetId="4" r:id="rId4"/>
    <sheet name="overall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5" l="1"/>
  <c r="E6" i="5"/>
  <c r="F6" i="5"/>
  <c r="C6" i="5"/>
  <c r="E10" i="4"/>
  <c r="G10" i="4"/>
  <c r="H10" i="4"/>
  <c r="D10" i="4"/>
  <c r="E10" i="3"/>
  <c r="G10" i="3"/>
  <c r="H10" i="3"/>
  <c r="D10" i="3"/>
  <c r="E10" i="2"/>
  <c r="G10" i="2"/>
  <c r="H10" i="2"/>
  <c r="D10" i="2"/>
  <c r="E10" i="1"/>
  <c r="G10" i="1"/>
  <c r="H10" i="1"/>
  <c r="D10" i="1"/>
</calcChain>
</file>

<file path=xl/sharedStrings.xml><?xml version="1.0" encoding="utf-8"?>
<sst xmlns="http://schemas.openxmlformats.org/spreadsheetml/2006/main" count="188" uniqueCount="34">
  <si>
    <t>model_name</t>
  </si>
  <si>
    <t>strategy_args</t>
  </si>
  <si>
    <t>model_params</t>
  </si>
  <si>
    <t>mae</t>
  </si>
  <si>
    <t>rmse</t>
  </si>
  <si>
    <t>file_name</t>
  </si>
  <si>
    <t>fit_time</t>
  </si>
  <si>
    <t>inference_time</t>
  </si>
  <si>
    <t>actual_data</t>
  </si>
  <si>
    <t>inference_data</t>
  </si>
  <si>
    <t>log_info</t>
  </si>
  <si>
    <t>AIR</t>
  </si>
  <si>
    <t>{"deterministic": "efficient", "horizon": 288, "save_true_pred": false, "seed": 2026, "strategy_name": "fixed_forecast", "target_channel": null, "train_ratio_in_tv": 0.8}</t>
  </si>
  <si>
    <t>{"batch_size": 8, "gcn_step": 2, "horizon": 288, "latent_dim": 4, "lr": 0.001, "norm": true, "num_epochs": 5, "patience": 20, "pred_len": 288, "rnn_units": 64, "seq_len": 576}</t>
  </si>
  <si>
    <t>event_0.csv</t>
  </si>
  <si>
    <t>event_1.csv</t>
  </si>
  <si>
    <t>event_2.csv</t>
  </si>
  <si>
    <t>event_3.csv</t>
  </si>
  <si>
    <t>event_4.csv</t>
  </si>
  <si>
    <t>event_5.csv</t>
  </si>
  <si>
    <t>event_6.csv</t>
  </si>
  <si>
    <t>event_7.csv</t>
  </si>
  <si>
    <t>{"deterministic": "efficient", "horizon": 576, "save_true_pred": false, "seed": 2026, "strategy_name": "fixed_forecast", "target_channel": null, "train_ratio_in_tv": 0.8}</t>
  </si>
  <si>
    <t>{"batch_size": 8, "gcn_step": 2, "horizon": 576, "latent_dim": 4, "lr": 0.001, "norm": true, "num_epochs": 5, "patience": 20, "pred_len": 576, "rnn_units": 64, "seq_len": 576}</t>
  </si>
  <si>
    <t>{"deterministic": "efficient", "horizon": 864, "save_true_pred": false, "seed": 2026, "strategy_name": "fixed_forecast", "target_channel": null, "train_ratio_in_tv": 0.8}</t>
  </si>
  <si>
    <t>{"batch_size": 8, "gcn_step": 2, "horizon": 864, "latent_dim": 4, "lr": 0.001, "norm": true, "num_epochs": 5, "patience": 20, "pred_len": 864, "rnn_units": 64, "seq_len": 576}</t>
  </si>
  <si>
    <t>{"deterministic": "efficient", "horizon": 1152, "save_true_pred": false, "seed": 2026, "strategy_name": "fixed_forecast", "target_channel": null, "train_ratio_in_tv": 0.8}</t>
  </si>
  <si>
    <t>{"batch_size": 8, "gcn_step": 2, "horizon": 1152, "latent_dim": 4, "lr": 0.001, "norm": true, "num_epochs": 5, "patience": 20, "pred_len": 1152, "rnn_units": 64, "seq_len": 576}</t>
  </si>
  <si>
    <t>horizon</t>
  </si>
  <si>
    <t>d12</t>
  </si>
  <si>
    <t>d24</t>
  </si>
  <si>
    <t>d36</t>
  </si>
  <si>
    <t>d48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</si>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</sst>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scheme val="minor"/>
    </font>
    <font>
      <b/>
      <sz val="11"/>
      <color theme="1"/>
      <name val="等线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/>
    <xf numFmtId="0" fontId="20" fillId="0" borderId="0" xfId="0" applyFont="1">
      <alignment vertical="center"/>
    </xf>
    <xf numFmtId="0" fontId="19" fillId="0" borderId="0" xfId="0" applyFo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8487-4588-4F76-AFF7-B4BBED05DD65}">
  <dimension ref="A1:K10"/>
  <sheetViews>
    <sheetView tabSelected="1" workbookViewId="0">
      <selection activeCell="I14" sqref="I14"/>
    </sheetView>
  </sheetViews>
  <sheetFormatPr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0.71483072800000003</v>
      </c>
      <c r="E2">
        <v>0.86233516300000002</v>
      </c>
      <c r="F2" t="s">
        <v>14</v>
      </c>
      <c r="G2">
        <v>533.88606860000004</v>
      </c>
      <c r="H2">
        <v>0.135737419</v>
      </c>
    </row>
    <row r="3" spans="1:11">
      <c r="A3" t="s">
        <v>11</v>
      </c>
      <c r="B3" t="s">
        <v>12</v>
      </c>
      <c r="C3" t="s">
        <v>13</v>
      </c>
      <c r="D3">
        <v>0.59587848799999998</v>
      </c>
      <c r="E3">
        <v>0.79923995000000003</v>
      </c>
      <c r="F3" t="s">
        <v>15</v>
      </c>
      <c r="G3">
        <v>532.90993170000002</v>
      </c>
      <c r="H3">
        <v>0.21080183999999999</v>
      </c>
    </row>
    <row r="4" spans="1:11">
      <c r="A4" t="s">
        <v>11</v>
      </c>
      <c r="B4" t="s">
        <v>12</v>
      </c>
      <c r="C4" t="s">
        <v>13</v>
      </c>
      <c r="D4">
        <v>0.64761449699999996</v>
      </c>
      <c r="E4">
        <v>0.81296759200000002</v>
      </c>
      <c r="F4" t="s">
        <v>16</v>
      </c>
      <c r="G4">
        <v>531.27634169999999</v>
      </c>
      <c r="H4">
        <v>0.207736015</v>
      </c>
    </row>
    <row r="5" spans="1:11">
      <c r="A5" t="s">
        <v>11</v>
      </c>
      <c r="B5" t="s">
        <v>12</v>
      </c>
      <c r="C5" t="s">
        <v>13</v>
      </c>
      <c r="D5">
        <v>0.55953727600000003</v>
      </c>
      <c r="E5">
        <v>0.79511653999999998</v>
      </c>
      <c r="F5" t="s">
        <v>17</v>
      </c>
      <c r="G5">
        <v>536.60873389999995</v>
      </c>
      <c r="H5">
        <v>0.15461492499999999</v>
      </c>
    </row>
    <row r="6" spans="1:11">
      <c r="A6" t="s">
        <v>11</v>
      </c>
      <c r="B6" t="s">
        <v>12</v>
      </c>
      <c r="C6" t="s">
        <v>13</v>
      </c>
      <c r="D6">
        <v>0.57923455999999995</v>
      </c>
      <c r="E6">
        <v>0.76544598600000002</v>
      </c>
      <c r="F6" t="s">
        <v>18</v>
      </c>
      <c r="G6">
        <v>537.75804619999997</v>
      </c>
      <c r="H6">
        <v>0.20815467800000001</v>
      </c>
    </row>
    <row r="7" spans="1:11">
      <c r="A7" t="s">
        <v>11</v>
      </c>
      <c r="B7" t="s">
        <v>12</v>
      </c>
      <c r="C7" t="s">
        <v>13</v>
      </c>
      <c r="D7">
        <v>0.58837068999999997</v>
      </c>
      <c r="E7">
        <v>0.76648331999999997</v>
      </c>
      <c r="F7" t="s">
        <v>19</v>
      </c>
      <c r="G7">
        <v>542.80716419999999</v>
      </c>
      <c r="H7">
        <v>0.205049276</v>
      </c>
    </row>
    <row r="8" spans="1:11">
      <c r="A8" t="s">
        <v>11</v>
      </c>
      <c r="B8" t="s">
        <v>12</v>
      </c>
      <c r="C8" t="s">
        <v>13</v>
      </c>
      <c r="D8">
        <v>0.55186543899999996</v>
      </c>
      <c r="E8">
        <v>0.79687735000000004</v>
      </c>
      <c r="F8" t="s">
        <v>20</v>
      </c>
      <c r="G8">
        <v>609.12333079999996</v>
      </c>
      <c r="H8">
        <v>0.20883226399999999</v>
      </c>
    </row>
    <row r="9" spans="1:11">
      <c r="A9" t="s">
        <v>11</v>
      </c>
      <c r="B9" t="s">
        <v>12</v>
      </c>
      <c r="C9" t="s">
        <v>13</v>
      </c>
      <c r="D9">
        <v>0.55953031499999994</v>
      </c>
      <c r="E9">
        <v>0.78484555499999997</v>
      </c>
      <c r="F9" t="s">
        <v>21</v>
      </c>
      <c r="G9">
        <v>532.69833589999996</v>
      </c>
      <c r="H9">
        <v>0.20929241200000001</v>
      </c>
    </row>
    <row r="10" spans="1:11">
      <c r="D10" s="2">
        <f>AVERAGE(D2:D9)</f>
        <v>0.59960774912499992</v>
      </c>
      <c r="E10" s="2">
        <f t="shared" ref="E10:H10" si="0">AVERAGE(E2:E9)</f>
        <v>0.79791393199999994</v>
      </c>
      <c r="F10" s="2"/>
      <c r="G10" s="2">
        <f t="shared" si="0"/>
        <v>544.63349412499997</v>
      </c>
      <c r="H10" s="2">
        <f t="shared" si="0"/>
        <v>0.19252735362499998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FA38-A644-4F62-BFE7-CB092072733F}">
  <dimension ref="A1:K10"/>
  <sheetViews>
    <sheetView workbookViewId="0">
      <selection activeCell="H10" activeCellId="3" sqref="D10 E10 G10 H10"/>
    </sheetView>
  </sheetViews>
  <sheetFormatPr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22</v>
      </c>
      <c r="C2" t="s">
        <v>23</v>
      </c>
      <c r="D2">
        <v>0.56051145700000005</v>
      </c>
      <c r="E2">
        <v>0.74377823499999995</v>
      </c>
      <c r="F2" t="s">
        <v>14</v>
      </c>
      <c r="G2">
        <v>531.10549070000002</v>
      </c>
      <c r="H2">
        <v>0.316730022</v>
      </c>
    </row>
    <row r="3" spans="1:11">
      <c r="A3" t="s">
        <v>11</v>
      </c>
      <c r="B3" t="s">
        <v>22</v>
      </c>
      <c r="C3" t="s">
        <v>23</v>
      </c>
      <c r="D3">
        <v>0.55480784299999997</v>
      </c>
      <c r="E3">
        <v>0.729818199</v>
      </c>
      <c r="F3" t="s">
        <v>15</v>
      </c>
      <c r="G3">
        <v>524.73724149999998</v>
      </c>
      <c r="H3">
        <v>0.31664276099999999</v>
      </c>
    </row>
    <row r="4" spans="1:11">
      <c r="A4" t="s">
        <v>11</v>
      </c>
      <c r="B4" t="s">
        <v>22</v>
      </c>
      <c r="C4" t="s">
        <v>23</v>
      </c>
      <c r="D4">
        <v>0.576117981</v>
      </c>
      <c r="E4">
        <v>0.74151339900000002</v>
      </c>
      <c r="F4" t="s">
        <v>16</v>
      </c>
      <c r="G4">
        <v>532.40613870000004</v>
      </c>
      <c r="H4">
        <v>0.31348228500000003</v>
      </c>
    </row>
    <row r="5" spans="1:11">
      <c r="A5" t="s">
        <v>11</v>
      </c>
      <c r="B5" t="s">
        <v>22</v>
      </c>
      <c r="C5" t="s">
        <v>23</v>
      </c>
      <c r="D5">
        <v>0.53563107899999995</v>
      </c>
      <c r="E5">
        <v>0.71756283300000001</v>
      </c>
      <c r="F5" t="s">
        <v>17</v>
      </c>
      <c r="G5">
        <v>536.06625389999999</v>
      </c>
      <c r="H5">
        <v>0.32539963700000002</v>
      </c>
    </row>
    <row r="6" spans="1:11">
      <c r="A6" t="s">
        <v>11</v>
      </c>
      <c r="B6" t="s">
        <v>22</v>
      </c>
      <c r="C6" t="s">
        <v>23</v>
      </c>
      <c r="D6">
        <v>0.51745747600000003</v>
      </c>
      <c r="E6">
        <v>0.71645037</v>
      </c>
      <c r="F6" t="s">
        <v>18</v>
      </c>
      <c r="G6">
        <v>525.35199260000002</v>
      </c>
      <c r="H6">
        <v>0.31689047799999998</v>
      </c>
    </row>
    <row r="7" spans="1:11">
      <c r="A7" t="s">
        <v>11</v>
      </c>
      <c r="B7" t="s">
        <v>22</v>
      </c>
      <c r="C7" t="s">
        <v>23</v>
      </c>
      <c r="D7">
        <v>0.529272136</v>
      </c>
      <c r="E7">
        <v>0.71689811199999998</v>
      </c>
      <c r="F7" t="s">
        <v>19</v>
      </c>
      <c r="G7">
        <v>526.81907750000005</v>
      </c>
      <c r="H7">
        <v>0.31219553900000002</v>
      </c>
    </row>
    <row r="8" spans="1:11">
      <c r="A8" t="s">
        <v>11</v>
      </c>
      <c r="B8" t="s">
        <v>22</v>
      </c>
      <c r="C8" t="s">
        <v>23</v>
      </c>
      <c r="D8">
        <v>0.51375311099999998</v>
      </c>
      <c r="E8">
        <v>0.71741592300000001</v>
      </c>
      <c r="F8" t="s">
        <v>20</v>
      </c>
      <c r="G8">
        <v>529.67105979999997</v>
      </c>
      <c r="H8">
        <v>0.206228733</v>
      </c>
    </row>
    <row r="9" spans="1:11">
      <c r="A9" t="s">
        <v>11</v>
      </c>
      <c r="B9" t="s">
        <v>22</v>
      </c>
      <c r="C9" t="s">
        <v>23</v>
      </c>
      <c r="D9">
        <v>0.50568213699999998</v>
      </c>
      <c r="E9">
        <v>0.72113163300000005</v>
      </c>
      <c r="F9" t="s">
        <v>21</v>
      </c>
      <c r="G9">
        <v>596.7999198</v>
      </c>
      <c r="H9">
        <v>0.31297087699999998</v>
      </c>
    </row>
    <row r="10" spans="1:11">
      <c r="D10" s="2">
        <f>AVERAGE(D2:D9)</f>
        <v>0.53665415249999993</v>
      </c>
      <c r="E10" s="2">
        <f t="shared" ref="E10:H10" si="0">AVERAGE(E2:E9)</f>
        <v>0.72557108799999992</v>
      </c>
      <c r="F10" s="2"/>
      <c r="G10" s="2">
        <f t="shared" si="0"/>
        <v>537.86964681249992</v>
      </c>
      <c r="H10" s="2">
        <f t="shared" si="0"/>
        <v>0.30256754150000004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DACF9-DDAE-40AC-96DF-CFE0F8DA112E}">
  <dimension ref="A1:K10"/>
  <sheetViews>
    <sheetView workbookViewId="0">
      <selection activeCell="H10" activeCellId="3" sqref="D10 E10 G10 H10"/>
    </sheetView>
  </sheetViews>
  <sheetFormatPr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24</v>
      </c>
      <c r="C2" t="s">
        <v>25</v>
      </c>
      <c r="D2">
        <v>0.67819240300000005</v>
      </c>
      <c r="E2">
        <v>0.82290105099999999</v>
      </c>
      <c r="F2" t="s">
        <v>14</v>
      </c>
      <c r="G2">
        <v>526.93181849999996</v>
      </c>
      <c r="H2">
        <v>0.41908764799999998</v>
      </c>
    </row>
    <row r="3" spans="1:11">
      <c r="A3" t="s">
        <v>11</v>
      </c>
      <c r="B3" t="s">
        <v>24</v>
      </c>
      <c r="C3" t="s">
        <v>25</v>
      </c>
      <c r="D3">
        <v>0.55986326500000005</v>
      </c>
      <c r="E3">
        <v>0.72687055300000003</v>
      </c>
      <c r="F3" t="s">
        <v>15</v>
      </c>
      <c r="G3">
        <v>515.65746239999999</v>
      </c>
      <c r="H3">
        <v>0.43060684199999999</v>
      </c>
    </row>
    <row r="4" spans="1:11">
      <c r="A4" t="s">
        <v>11</v>
      </c>
      <c r="B4" t="s">
        <v>24</v>
      </c>
      <c r="C4" t="s">
        <v>25</v>
      </c>
      <c r="D4">
        <v>0.59811101799999999</v>
      </c>
      <c r="E4">
        <v>0.74904687199999997</v>
      </c>
      <c r="F4" t="s">
        <v>16</v>
      </c>
      <c r="G4">
        <v>518.94809150000003</v>
      </c>
      <c r="H4">
        <v>0.41738653199999998</v>
      </c>
    </row>
    <row r="5" spans="1:11">
      <c r="A5" t="s">
        <v>11</v>
      </c>
      <c r="B5" t="s">
        <v>24</v>
      </c>
      <c r="C5" t="s">
        <v>25</v>
      </c>
      <c r="D5">
        <v>0.52919008199999995</v>
      </c>
      <c r="E5">
        <v>0.70872979000000003</v>
      </c>
      <c r="F5" t="s">
        <v>17</v>
      </c>
      <c r="G5">
        <v>506.99600670000001</v>
      </c>
      <c r="H5">
        <v>0.424649477</v>
      </c>
    </row>
    <row r="6" spans="1:11">
      <c r="A6" t="s">
        <v>11</v>
      </c>
      <c r="B6" t="s">
        <v>24</v>
      </c>
      <c r="C6" t="s">
        <v>25</v>
      </c>
      <c r="D6">
        <v>0.49888158900000001</v>
      </c>
      <c r="E6">
        <v>0.70795499200000001</v>
      </c>
      <c r="F6" t="s">
        <v>18</v>
      </c>
      <c r="G6">
        <v>500.7388914</v>
      </c>
      <c r="H6">
        <v>0.42092180299999998</v>
      </c>
    </row>
    <row r="7" spans="1:11">
      <c r="A7" t="s">
        <v>11</v>
      </c>
      <c r="B7" t="s">
        <v>24</v>
      </c>
      <c r="C7" t="s">
        <v>25</v>
      </c>
      <c r="D7">
        <v>0.52242760200000005</v>
      </c>
      <c r="E7">
        <v>0.70796218399999999</v>
      </c>
      <c r="F7" t="s">
        <v>19</v>
      </c>
      <c r="G7">
        <v>507.03121349999998</v>
      </c>
      <c r="H7">
        <v>0.42608737899999999</v>
      </c>
    </row>
    <row r="8" spans="1:11">
      <c r="A8" t="s">
        <v>11</v>
      </c>
      <c r="B8" t="s">
        <v>24</v>
      </c>
      <c r="C8" t="s">
        <v>25</v>
      </c>
      <c r="D8">
        <v>0.49803610700000001</v>
      </c>
      <c r="E8">
        <v>0.71139004400000005</v>
      </c>
      <c r="F8" t="s">
        <v>20</v>
      </c>
      <c r="G8">
        <v>519.10547610000003</v>
      </c>
      <c r="H8">
        <v>0.427540064</v>
      </c>
    </row>
    <row r="9" spans="1:11">
      <c r="A9" t="s">
        <v>11</v>
      </c>
      <c r="B9" t="s">
        <v>24</v>
      </c>
      <c r="C9" t="s">
        <v>25</v>
      </c>
      <c r="D9">
        <v>0.49080310199999999</v>
      </c>
      <c r="E9">
        <v>0.71355937400000002</v>
      </c>
      <c r="F9" t="s">
        <v>21</v>
      </c>
      <c r="G9">
        <v>522.64218640000001</v>
      </c>
      <c r="H9">
        <v>0.42070579499999999</v>
      </c>
    </row>
    <row r="10" spans="1:11">
      <c r="D10" s="2">
        <f>AVERAGE(D2:D9)</f>
        <v>0.5469381459999999</v>
      </c>
      <c r="E10" s="2">
        <f t="shared" ref="E10:H10" si="0">AVERAGE(E2:E9)</f>
        <v>0.73105185750000001</v>
      </c>
      <c r="F10" s="2"/>
      <c r="G10" s="2">
        <f t="shared" si="0"/>
        <v>514.75639331249999</v>
      </c>
      <c r="H10" s="2">
        <f t="shared" si="0"/>
        <v>0.4233731925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7263-D9A4-42D7-B8EA-2038D806558E}">
  <dimension ref="A1:K10"/>
  <sheetViews>
    <sheetView workbookViewId="0">
      <selection activeCell="H10" activeCellId="3" sqref="D10 E10 G10 H10"/>
    </sheetView>
  </sheetViews>
  <sheetFormatPr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26</v>
      </c>
      <c r="C2" t="s">
        <v>27</v>
      </c>
      <c r="D2">
        <v>0.61776122499999997</v>
      </c>
      <c r="E2">
        <v>0.80726889199999996</v>
      </c>
      <c r="F2" t="s">
        <v>14</v>
      </c>
      <c r="G2">
        <v>506.55750660000001</v>
      </c>
      <c r="H2">
        <v>0.53825235400000004</v>
      </c>
    </row>
    <row r="3" spans="1:11">
      <c r="A3" t="s">
        <v>11</v>
      </c>
      <c r="B3" t="s">
        <v>26</v>
      </c>
      <c r="C3" t="s">
        <v>27</v>
      </c>
      <c r="D3">
        <v>0.58098378799999995</v>
      </c>
      <c r="E3">
        <v>0.76660637099999995</v>
      </c>
      <c r="F3" t="s">
        <v>15</v>
      </c>
      <c r="G3">
        <v>510.98308680000002</v>
      </c>
      <c r="H3">
        <v>0.53107976899999998</v>
      </c>
    </row>
    <row r="4" spans="1:11">
      <c r="A4" t="s">
        <v>11</v>
      </c>
      <c r="B4" t="s">
        <v>26</v>
      </c>
      <c r="C4" t="s">
        <v>27</v>
      </c>
      <c r="D4">
        <v>0.56468798899999995</v>
      </c>
      <c r="E4">
        <v>0.78333984300000004</v>
      </c>
      <c r="F4" t="s">
        <v>16</v>
      </c>
      <c r="G4">
        <v>507.85678100000001</v>
      </c>
      <c r="H4">
        <v>0.53376722300000001</v>
      </c>
    </row>
    <row r="5" spans="1:11">
      <c r="A5" t="s">
        <v>11</v>
      </c>
      <c r="B5" t="s">
        <v>26</v>
      </c>
      <c r="C5" t="s">
        <v>27</v>
      </c>
      <c r="D5">
        <v>0.52287293199999996</v>
      </c>
      <c r="E5">
        <v>0.75650419099999999</v>
      </c>
      <c r="F5" t="s">
        <v>17</v>
      </c>
      <c r="G5">
        <v>511.12424370000002</v>
      </c>
      <c r="H5">
        <v>0.52848315199999996</v>
      </c>
    </row>
    <row r="6" spans="1:11">
      <c r="A6" t="s">
        <v>11</v>
      </c>
      <c r="B6" t="s">
        <v>26</v>
      </c>
      <c r="C6" t="s">
        <v>27</v>
      </c>
      <c r="D6">
        <v>0.50366356599999995</v>
      </c>
      <c r="E6">
        <v>0.77525427800000002</v>
      </c>
      <c r="F6" t="s">
        <v>18</v>
      </c>
      <c r="G6">
        <v>516.56878759999995</v>
      </c>
      <c r="H6">
        <v>0.53050088900000003</v>
      </c>
    </row>
    <row r="7" spans="1:11">
      <c r="A7" t="s">
        <v>11</v>
      </c>
      <c r="B7" t="s">
        <v>26</v>
      </c>
      <c r="C7" t="s">
        <v>27</v>
      </c>
      <c r="D7">
        <v>0.52115277500000001</v>
      </c>
      <c r="E7">
        <v>0.75514543499999998</v>
      </c>
      <c r="F7" t="s">
        <v>19</v>
      </c>
      <c r="G7">
        <v>517.33792730000005</v>
      </c>
      <c r="H7">
        <v>0.52747058899999999</v>
      </c>
    </row>
    <row r="8" spans="1:11">
      <c r="A8" t="s">
        <v>11</v>
      </c>
      <c r="B8" t="s">
        <v>26</v>
      </c>
      <c r="C8" t="s">
        <v>27</v>
      </c>
      <c r="D8">
        <v>0.51041252299999995</v>
      </c>
      <c r="E8">
        <v>0.75684528799999995</v>
      </c>
      <c r="F8" t="s">
        <v>20</v>
      </c>
      <c r="G8">
        <v>515.67410659999996</v>
      </c>
      <c r="H8">
        <v>0.52982783300000003</v>
      </c>
    </row>
    <row r="9" spans="1:11">
      <c r="A9" t="s">
        <v>11</v>
      </c>
      <c r="B9" t="s">
        <v>26</v>
      </c>
      <c r="C9" t="s">
        <v>27</v>
      </c>
      <c r="D9">
        <v>0.50420489000000002</v>
      </c>
      <c r="E9">
        <v>0.77835240000000006</v>
      </c>
      <c r="F9" t="s">
        <v>21</v>
      </c>
      <c r="G9">
        <v>511.88097979999998</v>
      </c>
      <c r="H9">
        <v>0.53745889700000005</v>
      </c>
    </row>
    <row r="10" spans="1:11">
      <c r="D10" s="2">
        <f>AVERAGE(D2:D9)</f>
        <v>0.54071746099999995</v>
      </c>
      <c r="E10" s="2">
        <f t="shared" ref="E10:H10" si="0">AVERAGE(E2:E9)</f>
        <v>0.77241458725000001</v>
      </c>
      <c r="F10" s="2"/>
      <c r="G10" s="2">
        <f t="shared" si="0"/>
        <v>512.24792742499994</v>
      </c>
      <c r="H10" s="2">
        <f t="shared" si="0"/>
        <v>0.53210508825000002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D969-425F-464D-8874-168ACA05D72F}">
  <dimension ref="A1:F9"/>
  <sheetViews>
    <sheetView workbookViewId="0">
      <selection activeCell="I16" sqref="I16"/>
    </sheetView>
  </sheetViews>
  <sheetFormatPr defaultRowHeight="14"/>
  <cols>
    <col min="1" max="16384" width="8.6640625" style="1"/>
  </cols>
  <sheetData>
    <row r="1" spans="1:6">
      <c r="A1" s="1" t="s">
        <v>0</v>
      </c>
      <c r="B1" s="1" t="s">
        <v>28</v>
      </c>
      <c r="C1" s="1" t="s">
        <v>3</v>
      </c>
      <c r="D1" s="1" t="s">
        <v>4</v>
      </c>
      <c r="E1" s="1" t="s">
        <v>6</v>
      </c>
      <c r="F1" s="1" t="s">
        <v>7</v>
      </c>
    </row>
    <row r="2" spans="1:6">
      <c r="A2" s="3" t="s">
        <v>11</v>
      </c>
      <c r="B2" s="1" t="s">
        <v>29</v>
      </c>
      <c r="C2" s="3">
        <v>0.59960774912499992</v>
      </c>
      <c r="D2" s="3">
        <v>0.79791393199999994</v>
      </c>
      <c r="E2" s="3">
        <v>544.63349412499997</v>
      </c>
      <c r="F2" s="3">
        <v>0.19252735362499998</v>
      </c>
    </row>
    <row r="3" spans="1:6">
      <c r="A3" s="3" t="s">
        <v>11</v>
      </c>
      <c r="B3" s="1" t="s">
        <v>30</v>
      </c>
      <c r="C3" s="3">
        <v>0.53665415249999993</v>
      </c>
      <c r="D3" s="3">
        <v>0.72557108799999992</v>
      </c>
      <c r="E3" s="3">
        <v>537.86964681249992</v>
      </c>
      <c r="F3" s="3">
        <v>0.30256754150000004</v>
      </c>
    </row>
    <row r="4" spans="1:6">
      <c r="A4" s="3" t="s">
        <v>11</v>
      </c>
      <c r="B4" s="1" t="s">
        <v>31</v>
      </c>
      <c r="C4" s="3">
        <v>0.5469381459999999</v>
      </c>
      <c r="D4" s="3">
        <v>0.73105185750000001</v>
      </c>
      <c r="E4" s="3">
        <v>514.75639331249999</v>
      </c>
      <c r="F4" s="3">
        <v>0.4233731925</v>
      </c>
    </row>
    <row r="5" spans="1:6">
      <c r="A5" s="3" t="s">
        <v>11</v>
      </c>
      <c r="B5" s="1" t="s">
        <v>32</v>
      </c>
      <c r="C5" s="3">
        <v>0.54071746099999995</v>
      </c>
      <c r="D5" s="3">
        <v>0.77241458725000001</v>
      </c>
      <c r="E5" s="3">
        <v>512.24792742499994</v>
      </c>
      <c r="F5" s="3">
        <v>0.53210508825000002</v>
      </c>
    </row>
    <row r="6" spans="1:6">
      <c r="A6" s="3" t="s">
        <v>11</v>
      </c>
      <c r="B6" s="1" t="s">
        <v>33</v>
      </c>
      <c r="C6" s="1">
        <f>AVERAGE(C2:C5)</f>
        <v>0.5559793771562499</v>
      </c>
      <c r="D6" s="1">
        <f t="shared" ref="D6:F6" si="0">AVERAGE(D2:D5)</f>
        <v>0.75673786618749994</v>
      </c>
      <c r="E6" s="1">
        <f t="shared" si="0"/>
        <v>527.37686541874996</v>
      </c>
      <c r="F6" s="1">
        <f t="shared" si="0"/>
        <v>0.36264329396875</v>
      </c>
    </row>
    <row r="7" spans="1:6">
      <c r="A7"/>
    </row>
    <row r="8" spans="1:6">
      <c r="A8"/>
    </row>
    <row r="9" spans="1:6">
      <c r="A9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d12</vt:lpstr>
      <vt:lpstr>d24</vt:lpstr>
      <vt:lpstr>d36</vt:lpstr>
      <vt:lpstr>d48</vt:lpstr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chen</dc:creator>
  <cp:lastModifiedBy>steven chen</cp:lastModifiedBy>
  <dcterms:created xsi:type="dcterms:W3CDTF">2026-07-14T06:04:48Z</dcterms:created>
  <dcterms:modified xsi:type="dcterms:W3CDTF">2026-07-14T06:05:00Z</dcterms:modified>
</cp:coreProperties>
</file>