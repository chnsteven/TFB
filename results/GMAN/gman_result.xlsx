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GitHub\TFB\results\GMAN\"/>
    </mc:Choice>
  </mc:AlternateContent>
  <xr:revisionPtr revIDLastSave="0" documentId="13_ncr:9_{A53FCD46-D8B8-40F0-9D04-AF247C45EE78}" xr6:coauthVersionLast="47" xr6:coauthVersionMax="47" xr10:uidLastSave="{00000000-0000-0000-0000-000000000000}"/>
  <bookViews>
    <workbookView xWindow="3010" yWindow="1880" windowWidth="21790" windowHeight="15370" activeTab="4" xr2:uid="{734E8FA4-A46C-41FC-B606-4310403F41C7}"/>
  </bookViews>
  <sheets>
    <sheet name="d12" sheetId="2" r:id="rId1"/>
    <sheet name="d24" sheetId="3" r:id="rId2"/>
    <sheet name="d36" sheetId="4" r:id="rId3"/>
    <sheet name="d48" sheetId="5" r:id="rId4"/>
    <sheet name="overall" sheetId="1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E6" i="1"/>
  <c r="F6" i="1"/>
  <c r="C6" i="1"/>
  <c r="E10" i="5"/>
  <c r="G10" i="5"/>
  <c r="H10" i="5"/>
  <c r="D10" i="5"/>
  <c r="E10" i="4"/>
  <c r="G10" i="4"/>
  <c r="H10" i="4"/>
  <c r="D10" i="4"/>
  <c r="E10" i="3"/>
  <c r="G10" i="3"/>
  <c r="H10" i="3"/>
  <c r="D10" i="3"/>
  <c r="E10" i="2"/>
  <c r="G10" i="2"/>
  <c r="H10" i="2"/>
  <c r="D10" i="2"/>
</calcChain>
</file>

<file path=xl/sharedStrings.xml><?xml version="1.0" encoding="utf-8"?>
<sst xmlns="http://schemas.openxmlformats.org/spreadsheetml/2006/main" count="188" uniqueCount="34">
  <si>
    <t>horizon</t>
  </si>
  <si>
    <t>mae</t>
  </si>
  <si>
    <t>rmse</t>
  </si>
  <si>
    <t>d12</t>
  </si>
  <si>
    <t>event_0.csv</t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</si>
  <si>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</si>
  <si>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</si>
  <si>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</si>
  <si>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</si>
  <si>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</si>
  <si>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</si>
  <si>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</si>
  <si>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d24</t>
  </si>
  <si>
    <t>d36</t>
  </si>
  <si>
    <t>d48</t>
  </si>
  <si>
    <t>ALL</t>
  </si>
  <si>
    <t>model_name</t>
  </si>
  <si>
    <t>fit_time</t>
  </si>
  <si>
    <t>inference_time</t>
  </si>
  <si>
    <t>strategy_args</t>
  </si>
  <si>
    <t>model_params</t>
  </si>
  <si>
    <t>file_name</t>
  </si>
  <si>
    <t>actual_data</t>
  </si>
  <si>
    <t>inference_data</t>
  </si>
  <si>
    <t>log_info</t>
  </si>
  <si>
    <t>GMAN</t>
  </si>
  <si>
    <t>{"deterministic": "efficient", "horizon": 48, "save_true_pred": false, "seed": 2026, "strategy_name": "fixed_forecast", "target_channel": null, "train_ratio_in_tv": 0.8}</t>
  </si>
  <si>
    <t>{"K": 1, "L": 1, "batch_size": 16, "d": 8, "horizon": 48, "lr": 0.0001, "norm": true, "num_epochs": 10, "num_his": 24, "num_pred": 48, "patience": 10, "pred_len": 48, "seq_len": 24, "time_steps_per_day": 1}</t>
  </si>
  <si>
    <t>{"deterministic": "efficient", "horizon": 24, "save_true_pred": false, "seed": 2026, "strategy_name": "fixed_forecast", "target_channel": null, "train_ratio_in_tv": 0.8}</t>
  </si>
  <si>
    <t>{"K": 1, "L": 1, "batch_size": 16, "d": 8, "horizon": 24, "lr": 0.0001, "norm": true, "num_epochs": 10, "num_his": 24, "num_pred": 24, "patience": 10, "pred_len": 24, "seq_len": 24, "time_steps_per_day": 1}</t>
  </si>
  <si>
    <t>{"deterministic": "efficient", "horizon": 36, "save_true_pred": false, "seed": 2026, "strategy_name": "fixed_forecast", "target_channel": null, "train_ratio_in_tv": 0.8}</t>
  </si>
  <si>
    <t>{"K": 1, "L": 1, "batch_size": 16, "d": 8, "horizon": 36, "lr": 0.0001, "norm": true, "num_epochs": 10, "num_his": 24, "num_pred": 36, "patience": 10, "pred_len": 36, "seq_len": 24, "time_steps_per_day": 1}</t>
  </si>
  <si>
    <t>{"deterministic": "efficient", "horizon": 12, "save_true_pred": false, "seed": 2026, "strategy_name": "fixed_forecast", "target_channel": null, "train_ratio_in_tv": 0.8}</t>
  </si>
  <si>
    <t>{"K": 1, "L": 1, "batch_size": 16, "d": 8, "horizon": 12, "lr": 0.0001, "norm": true, "num_epochs": 10, "num_his": 24, "num_pred": 12, "patience": 10, "pred_len": 12, "seq_len": 24, "time_steps_per_day":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</si>
</sst>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0" xfId="0" applyFont="1" applyAlignment="1"/>
    <xf numFmtId="0" fontId="20" fillId="0" borderId="0" xfId="0" applyFont="1">
      <alignment vertical="center"/>
    </xf>
    <xf numFmtId="0" fontId="18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7AFA-0EB2-4680-AA1E-856E6986E5A0}">
  <dimension ref="A1:K10"/>
  <sheetViews>
    <sheetView workbookViewId="0">
      <selection activeCell="A8" sqref="A8"/>
    </sheetView>
  </sheetViews>
  <sheetFormatPr defaultRowHeight="14"/>
  <sheetData>
    <row r="1" spans="1:11">
      <c r="A1" t="s">
        <v>16</v>
      </c>
      <c r="B1" t="s">
        <v>19</v>
      </c>
      <c r="C1" t="s">
        <v>20</v>
      </c>
      <c r="D1" t="s">
        <v>1</v>
      </c>
      <c r="E1" t="s">
        <v>2</v>
      </c>
      <c r="F1" t="s">
        <v>21</v>
      </c>
      <c r="G1" t="s">
        <v>17</v>
      </c>
      <c r="H1" t="s">
        <v>18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32</v>
      </c>
      <c r="C2" t="s">
        <v>33</v>
      </c>
      <c r="D2">
        <v>0.66032158600000002</v>
      </c>
      <c r="E2">
        <v>0.81474628000000004</v>
      </c>
      <c r="F2" t="s">
        <v>4</v>
      </c>
      <c r="G2">
        <v>589.18210859999999</v>
      </c>
      <c r="H2">
        <v>0.13045764000000001</v>
      </c>
    </row>
    <row r="3" spans="1:11">
      <c r="A3" t="s">
        <v>25</v>
      </c>
      <c r="B3" t="s">
        <v>32</v>
      </c>
      <c r="C3" t="s">
        <v>33</v>
      </c>
      <c r="D3">
        <v>0.60216939800000002</v>
      </c>
      <c r="E3">
        <v>0.79209857100000003</v>
      </c>
      <c r="F3" t="s">
        <v>5</v>
      </c>
      <c r="G3">
        <v>595.51601930000004</v>
      </c>
      <c r="H3">
        <v>0.11259126699999999</v>
      </c>
    </row>
    <row r="4" spans="1:11">
      <c r="A4" t="s">
        <v>25</v>
      </c>
      <c r="B4" t="s">
        <v>32</v>
      </c>
      <c r="C4" t="s">
        <v>33</v>
      </c>
      <c r="D4">
        <v>0.60632341499999998</v>
      </c>
      <c r="E4">
        <v>0.79213960400000005</v>
      </c>
      <c r="F4" t="s">
        <v>6</v>
      </c>
      <c r="G4">
        <v>613.79663419999997</v>
      </c>
      <c r="H4">
        <v>0.11374139799999999</v>
      </c>
    </row>
    <row r="5" spans="1:11">
      <c r="A5" t="s">
        <v>25</v>
      </c>
      <c r="B5" t="s">
        <v>32</v>
      </c>
      <c r="C5" t="s">
        <v>33</v>
      </c>
      <c r="D5">
        <v>0.599117644</v>
      </c>
      <c r="E5">
        <v>0.78801912900000004</v>
      </c>
      <c r="F5" t="s">
        <v>7</v>
      </c>
      <c r="G5">
        <v>602.70393799999999</v>
      </c>
      <c r="H5">
        <v>0.110489607</v>
      </c>
    </row>
    <row r="6" spans="1:11">
      <c r="A6" t="s">
        <v>25</v>
      </c>
      <c r="B6" t="s">
        <v>32</v>
      </c>
      <c r="C6" t="s">
        <v>33</v>
      </c>
      <c r="D6">
        <v>0.59745070899999997</v>
      </c>
      <c r="E6">
        <v>0.78917672299999997</v>
      </c>
      <c r="F6" t="s">
        <v>8</v>
      </c>
      <c r="G6">
        <v>608.49092859999996</v>
      </c>
      <c r="H6">
        <v>0.10877489999999999</v>
      </c>
    </row>
    <row r="7" spans="1:11">
      <c r="A7" t="s">
        <v>25</v>
      </c>
      <c r="B7" t="s">
        <v>32</v>
      </c>
      <c r="C7" t="s">
        <v>33</v>
      </c>
      <c r="D7">
        <v>0.587374124</v>
      </c>
      <c r="E7">
        <v>0.78746115000000005</v>
      </c>
      <c r="F7" t="s">
        <v>9</v>
      </c>
      <c r="G7">
        <v>617.72361590000003</v>
      </c>
      <c r="H7">
        <v>0.110730886</v>
      </c>
    </row>
    <row r="8" spans="1:11">
      <c r="A8" t="s">
        <v>25</v>
      </c>
      <c r="B8" t="s">
        <v>32</v>
      </c>
      <c r="C8" t="s">
        <v>33</v>
      </c>
      <c r="D8">
        <v>0.58618571200000003</v>
      </c>
      <c r="E8">
        <v>0.78320585600000003</v>
      </c>
      <c r="F8" t="s">
        <v>10</v>
      </c>
      <c r="G8">
        <v>602.638777</v>
      </c>
      <c r="H8">
        <v>0.11007475899999999</v>
      </c>
    </row>
    <row r="9" spans="1:11">
      <c r="A9" t="s">
        <v>25</v>
      </c>
      <c r="B9" t="s">
        <v>32</v>
      </c>
      <c r="C9" t="s">
        <v>33</v>
      </c>
      <c r="D9">
        <v>0.59912367799999999</v>
      </c>
      <c r="E9">
        <v>0.78817221000000004</v>
      </c>
      <c r="F9" t="s">
        <v>11</v>
      </c>
      <c r="G9">
        <v>599.05418870000005</v>
      </c>
      <c r="H9">
        <v>0.116661072</v>
      </c>
    </row>
    <row r="10" spans="1:11">
      <c r="D10" s="2">
        <f>AVERAGE(D2:D9)</f>
        <v>0.60475828325000003</v>
      </c>
      <c r="E10" s="2">
        <f t="shared" ref="E10:H10" si="0">AVERAGE(E2:E9)</f>
        <v>0.79187744037500007</v>
      </c>
      <c r="F10" s="2"/>
      <c r="G10" s="2">
        <f t="shared" si="0"/>
        <v>603.63827628749993</v>
      </c>
      <c r="H10" s="2">
        <f t="shared" si="0"/>
        <v>0.11419019112499999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E896-520A-47BB-9777-0E243FE8BC44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16</v>
      </c>
      <c r="B1" t="s">
        <v>19</v>
      </c>
      <c r="C1" t="s">
        <v>20</v>
      </c>
      <c r="D1" t="s">
        <v>1</v>
      </c>
      <c r="E1" t="s">
        <v>2</v>
      </c>
      <c r="F1" t="s">
        <v>21</v>
      </c>
      <c r="G1" t="s">
        <v>17</v>
      </c>
      <c r="H1" t="s">
        <v>18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28</v>
      </c>
      <c r="C2" t="s">
        <v>29</v>
      </c>
      <c r="D2">
        <v>0.878160198</v>
      </c>
      <c r="E2">
        <v>1.114261237</v>
      </c>
      <c r="F2" t="s">
        <v>4</v>
      </c>
      <c r="G2">
        <v>733.8556724</v>
      </c>
      <c r="H2">
        <v>9.4088316000000005E-2</v>
      </c>
    </row>
    <row r="3" spans="1:11">
      <c r="A3" t="s">
        <v>25</v>
      </c>
      <c r="B3" t="s">
        <v>28</v>
      </c>
      <c r="C3" t="s">
        <v>29</v>
      </c>
      <c r="D3">
        <v>0.78683216300000003</v>
      </c>
      <c r="E3">
        <v>1.015916386</v>
      </c>
      <c r="F3" t="s">
        <v>5</v>
      </c>
      <c r="G3">
        <v>750.76150559999996</v>
      </c>
      <c r="H3">
        <v>0.14358592000000001</v>
      </c>
    </row>
    <row r="4" spans="1:11">
      <c r="A4" t="s">
        <v>25</v>
      </c>
      <c r="B4" t="s">
        <v>28</v>
      </c>
      <c r="C4" t="s">
        <v>29</v>
      </c>
      <c r="D4">
        <v>0.70753055600000003</v>
      </c>
      <c r="E4">
        <v>0.91466808200000005</v>
      </c>
      <c r="F4" t="s">
        <v>6</v>
      </c>
      <c r="G4">
        <v>742.71349550000002</v>
      </c>
      <c r="H4">
        <v>0.171467066</v>
      </c>
    </row>
    <row r="5" spans="1:11">
      <c r="A5" t="s">
        <v>25</v>
      </c>
      <c r="B5" t="s">
        <v>28</v>
      </c>
      <c r="C5" t="s">
        <v>29</v>
      </c>
      <c r="D5">
        <v>0.69277596100000005</v>
      </c>
      <c r="E5">
        <v>0.97554011100000004</v>
      </c>
      <c r="F5" t="s">
        <v>7</v>
      </c>
      <c r="G5">
        <v>733.90608499999996</v>
      </c>
      <c r="H5">
        <v>0.122284412</v>
      </c>
    </row>
    <row r="6" spans="1:11">
      <c r="A6" t="s">
        <v>25</v>
      </c>
      <c r="B6" t="s">
        <v>28</v>
      </c>
      <c r="C6" t="s">
        <v>29</v>
      </c>
      <c r="D6">
        <v>0.67866447100000005</v>
      </c>
      <c r="E6">
        <v>0.95558101399999995</v>
      </c>
      <c r="F6" t="s">
        <v>8</v>
      </c>
      <c r="G6">
        <v>733.9796255</v>
      </c>
      <c r="H6">
        <v>0.11770367599999999</v>
      </c>
    </row>
    <row r="7" spans="1:11">
      <c r="A7" t="s">
        <v>25</v>
      </c>
      <c r="B7" t="s">
        <v>28</v>
      </c>
      <c r="C7" t="s">
        <v>29</v>
      </c>
      <c r="D7">
        <v>0.66627721399999995</v>
      </c>
      <c r="E7">
        <v>0.94171703399999995</v>
      </c>
      <c r="F7" t="s">
        <v>9</v>
      </c>
      <c r="G7">
        <v>733.04021809999995</v>
      </c>
      <c r="H7">
        <v>0.12159943600000001</v>
      </c>
    </row>
    <row r="8" spans="1:11">
      <c r="A8" t="s">
        <v>25</v>
      </c>
      <c r="B8" t="s">
        <v>28</v>
      </c>
      <c r="C8" t="s">
        <v>29</v>
      </c>
      <c r="D8">
        <v>0.72488788000000004</v>
      </c>
      <c r="E8">
        <v>0.98152512599999997</v>
      </c>
      <c r="F8" t="s">
        <v>10</v>
      </c>
      <c r="G8">
        <v>733.18386699999996</v>
      </c>
      <c r="H8">
        <v>0.13098001500000001</v>
      </c>
    </row>
    <row r="9" spans="1:11">
      <c r="A9" t="s">
        <v>25</v>
      </c>
      <c r="B9" t="s">
        <v>28</v>
      </c>
      <c r="C9" t="s">
        <v>29</v>
      </c>
      <c r="D9">
        <v>0.69333183799999998</v>
      </c>
      <c r="E9">
        <v>0.93357763800000004</v>
      </c>
      <c r="F9" t="s">
        <v>11</v>
      </c>
      <c r="G9">
        <v>732.69832110000004</v>
      </c>
      <c r="H9">
        <v>8.1340312999999997E-2</v>
      </c>
    </row>
    <row r="10" spans="1:11">
      <c r="D10" s="2">
        <f>AVERAGE(D2:D9)</f>
        <v>0.72855753512499999</v>
      </c>
      <c r="E10" s="2">
        <f t="shared" ref="E10:H10" si="0">AVERAGE(E2:E9)</f>
        <v>0.9790983285</v>
      </c>
      <c r="F10" s="2"/>
      <c r="G10" s="2">
        <f t="shared" si="0"/>
        <v>736.76734877499996</v>
      </c>
      <c r="H10" s="2">
        <f t="shared" si="0"/>
        <v>0.12288114424999999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9ADD-C29D-47AA-BCC9-FCC397397962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16</v>
      </c>
      <c r="B1" t="s">
        <v>19</v>
      </c>
      <c r="C1" t="s">
        <v>20</v>
      </c>
      <c r="D1" t="s">
        <v>1</v>
      </c>
      <c r="E1" t="s">
        <v>2</v>
      </c>
      <c r="F1" t="s">
        <v>21</v>
      </c>
      <c r="G1" t="s">
        <v>17</v>
      </c>
      <c r="H1" t="s">
        <v>18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30</v>
      </c>
      <c r="C2" t="s">
        <v>31</v>
      </c>
      <c r="D2">
        <v>0.87890533199999998</v>
      </c>
      <c r="E2">
        <v>1.1102504689999999</v>
      </c>
      <c r="F2" t="s">
        <v>4</v>
      </c>
      <c r="G2">
        <v>905.05460830000004</v>
      </c>
      <c r="H2">
        <v>8.5627316999999994E-2</v>
      </c>
    </row>
    <row r="3" spans="1:11">
      <c r="A3" t="s">
        <v>25</v>
      </c>
      <c r="B3" t="s">
        <v>30</v>
      </c>
      <c r="C3" t="s">
        <v>31</v>
      </c>
      <c r="D3">
        <v>0.730702085</v>
      </c>
      <c r="E3">
        <v>1.0360852279999999</v>
      </c>
      <c r="F3" t="s">
        <v>5</v>
      </c>
      <c r="G3">
        <v>906.49406550000003</v>
      </c>
      <c r="H3">
        <v>9.7287655000000001E-2</v>
      </c>
    </row>
    <row r="4" spans="1:11">
      <c r="A4" t="s">
        <v>25</v>
      </c>
      <c r="B4" t="s">
        <v>30</v>
      </c>
      <c r="C4" t="s">
        <v>31</v>
      </c>
      <c r="D4">
        <v>0.65892232900000003</v>
      </c>
      <c r="E4">
        <v>0.89111261500000005</v>
      </c>
      <c r="F4" t="s">
        <v>6</v>
      </c>
      <c r="G4">
        <v>906.87088679999999</v>
      </c>
      <c r="H4">
        <v>8.8791846999999993E-2</v>
      </c>
    </row>
    <row r="5" spans="1:11">
      <c r="A5" t="s">
        <v>25</v>
      </c>
      <c r="B5" t="s">
        <v>30</v>
      </c>
      <c r="C5" t="s">
        <v>31</v>
      </c>
      <c r="D5">
        <v>0.66904902499999996</v>
      </c>
      <c r="E5">
        <v>0.95220151900000005</v>
      </c>
      <c r="F5" t="s">
        <v>7</v>
      </c>
      <c r="G5">
        <v>906.2606988</v>
      </c>
      <c r="H5">
        <v>9.8302126000000004E-2</v>
      </c>
    </row>
    <row r="6" spans="1:11">
      <c r="A6" t="s">
        <v>25</v>
      </c>
      <c r="B6" t="s">
        <v>30</v>
      </c>
      <c r="C6" t="s">
        <v>31</v>
      </c>
      <c r="D6">
        <v>0.62255056399999997</v>
      </c>
      <c r="E6">
        <v>0.86935711699999996</v>
      </c>
      <c r="F6" t="s">
        <v>8</v>
      </c>
      <c r="G6">
        <v>905.97673629999997</v>
      </c>
      <c r="H6">
        <v>9.8626137000000003E-2</v>
      </c>
    </row>
    <row r="7" spans="1:11">
      <c r="A7" t="s">
        <v>25</v>
      </c>
      <c r="B7" t="s">
        <v>30</v>
      </c>
      <c r="C7" t="s">
        <v>31</v>
      </c>
      <c r="D7">
        <v>0.64297061700000002</v>
      </c>
      <c r="E7">
        <v>0.923598539</v>
      </c>
      <c r="F7" t="s">
        <v>9</v>
      </c>
      <c r="G7">
        <v>905.97787000000005</v>
      </c>
      <c r="H7">
        <v>9.8660945999999999E-2</v>
      </c>
    </row>
    <row r="8" spans="1:11">
      <c r="A8" t="s">
        <v>25</v>
      </c>
      <c r="B8" t="s">
        <v>30</v>
      </c>
      <c r="C8" t="s">
        <v>31</v>
      </c>
      <c r="D8">
        <v>0.71190290499999997</v>
      </c>
      <c r="E8">
        <v>1.020393664</v>
      </c>
      <c r="F8" t="s">
        <v>10</v>
      </c>
      <c r="G8">
        <v>909.90924910000001</v>
      </c>
      <c r="H8">
        <v>9.9489211999999994E-2</v>
      </c>
    </row>
    <row r="9" spans="1:11">
      <c r="A9" t="s">
        <v>25</v>
      </c>
      <c r="B9" t="s">
        <v>30</v>
      </c>
      <c r="C9" t="s">
        <v>31</v>
      </c>
      <c r="D9">
        <v>0.69461561400000005</v>
      </c>
      <c r="E9">
        <v>0.99115825599999996</v>
      </c>
      <c r="F9" t="s">
        <v>11</v>
      </c>
      <c r="G9">
        <v>916.86009760000002</v>
      </c>
      <c r="H9">
        <v>0.11439514200000001</v>
      </c>
    </row>
    <row r="10" spans="1:11">
      <c r="D10" s="2">
        <f>AVERAGE(D2:D9)</f>
        <v>0.70120230887500001</v>
      </c>
      <c r="E10" s="2">
        <f t="shared" ref="E10:H10" si="0">AVERAGE(E2:E9)</f>
        <v>0.97426967587500002</v>
      </c>
      <c r="F10" s="2"/>
      <c r="G10" s="2">
        <f t="shared" si="0"/>
        <v>907.92552654999997</v>
      </c>
      <c r="H10" s="2">
        <f t="shared" si="0"/>
        <v>9.7647547750000008E-2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E1A8-F344-4096-AAE9-D033A8B352DD}">
  <dimension ref="A1:K10"/>
  <sheetViews>
    <sheetView workbookViewId="0">
      <selection activeCell="H10" activeCellId="3" sqref="D10 E10 G10 H10"/>
    </sheetView>
  </sheetViews>
  <sheetFormatPr defaultRowHeight="14"/>
  <sheetData>
    <row r="1" spans="1:11">
      <c r="A1" t="s">
        <v>16</v>
      </c>
      <c r="B1" t="s">
        <v>19</v>
      </c>
      <c r="C1" t="s">
        <v>20</v>
      </c>
      <c r="D1" t="s">
        <v>1</v>
      </c>
      <c r="E1" t="s">
        <v>2</v>
      </c>
      <c r="F1" t="s">
        <v>21</v>
      </c>
      <c r="G1" t="s">
        <v>17</v>
      </c>
      <c r="H1" t="s">
        <v>18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26</v>
      </c>
      <c r="C2" t="s">
        <v>27</v>
      </c>
      <c r="D2">
        <v>0.82304508600000004</v>
      </c>
      <c r="E2">
        <v>1.0868250239999999</v>
      </c>
      <c r="F2" t="s">
        <v>4</v>
      </c>
      <c r="G2">
        <v>1099.2871250000001</v>
      </c>
      <c r="H2">
        <v>9.0516329000000006E-2</v>
      </c>
    </row>
    <row r="3" spans="1:11">
      <c r="A3" t="s">
        <v>25</v>
      </c>
      <c r="B3" t="s">
        <v>26</v>
      </c>
      <c r="C3" t="s">
        <v>27</v>
      </c>
      <c r="D3">
        <v>0.91683240799999999</v>
      </c>
      <c r="E3">
        <v>1.2044942270000001</v>
      </c>
      <c r="F3" t="s">
        <v>5</v>
      </c>
      <c r="G3">
        <v>1099.845877</v>
      </c>
      <c r="H3">
        <v>9.1493845000000004E-2</v>
      </c>
    </row>
    <row r="4" spans="1:11">
      <c r="A4" t="s">
        <v>25</v>
      </c>
      <c r="B4" t="s">
        <v>26</v>
      </c>
      <c r="C4" t="s">
        <v>27</v>
      </c>
      <c r="D4">
        <v>0.76143815699999995</v>
      </c>
      <c r="E4">
        <v>0.97339922300000004</v>
      </c>
      <c r="F4" t="s">
        <v>6</v>
      </c>
      <c r="G4">
        <v>1097.6628390000001</v>
      </c>
      <c r="H4">
        <v>9.9462271000000005E-2</v>
      </c>
    </row>
    <row r="5" spans="1:11">
      <c r="A5" t="s">
        <v>25</v>
      </c>
      <c r="B5" t="s">
        <v>26</v>
      </c>
      <c r="C5" t="s">
        <v>27</v>
      </c>
      <c r="D5">
        <v>0.65779031200000004</v>
      </c>
      <c r="E5">
        <v>0.94742868099999999</v>
      </c>
      <c r="F5" t="s">
        <v>7</v>
      </c>
      <c r="G5">
        <v>1100.7662290000001</v>
      </c>
      <c r="H5">
        <v>0.11722993900000001</v>
      </c>
    </row>
    <row r="6" spans="1:11">
      <c r="A6" t="s">
        <v>25</v>
      </c>
      <c r="B6" t="s">
        <v>26</v>
      </c>
      <c r="C6" t="s">
        <v>27</v>
      </c>
      <c r="D6">
        <v>0.67112708399999998</v>
      </c>
      <c r="E6">
        <v>0.88453184600000001</v>
      </c>
      <c r="F6" t="s">
        <v>8</v>
      </c>
      <c r="G6">
        <v>1100.3880059999999</v>
      </c>
      <c r="H6">
        <v>0.10383153000000001</v>
      </c>
    </row>
    <row r="7" spans="1:11">
      <c r="A7" t="s">
        <v>25</v>
      </c>
      <c r="B7" t="s">
        <v>26</v>
      </c>
      <c r="C7" t="s">
        <v>27</v>
      </c>
      <c r="D7">
        <v>0.63723305900000005</v>
      </c>
      <c r="E7">
        <v>0.90172741199999995</v>
      </c>
      <c r="F7" t="s">
        <v>9</v>
      </c>
      <c r="G7">
        <v>1100.1020799999999</v>
      </c>
      <c r="H7">
        <v>9.4694375999999997E-2</v>
      </c>
    </row>
    <row r="8" spans="1:11">
      <c r="A8" t="s">
        <v>25</v>
      </c>
      <c r="B8" t="s">
        <v>26</v>
      </c>
      <c r="C8" t="s">
        <v>27</v>
      </c>
      <c r="D8">
        <v>0.80852576700000001</v>
      </c>
      <c r="E8">
        <v>1.146324975</v>
      </c>
      <c r="F8" t="s">
        <v>10</v>
      </c>
      <c r="G8">
        <v>1100.3697560000001</v>
      </c>
      <c r="H8">
        <v>9.6992730999999999E-2</v>
      </c>
    </row>
    <row r="9" spans="1:11">
      <c r="A9" t="s">
        <v>25</v>
      </c>
      <c r="B9" t="s">
        <v>26</v>
      </c>
      <c r="C9" t="s">
        <v>27</v>
      </c>
      <c r="D9">
        <v>0.681439342</v>
      </c>
      <c r="E9">
        <v>0.98729781100000003</v>
      </c>
      <c r="F9" t="s">
        <v>11</v>
      </c>
      <c r="G9">
        <v>1100.3113780000001</v>
      </c>
      <c r="H9">
        <v>0.100145817</v>
      </c>
    </row>
    <row r="10" spans="1:11">
      <c r="D10" s="2">
        <f>AVERAGE(D2:D9)</f>
        <v>0.74467890187499997</v>
      </c>
      <c r="E10" s="2">
        <f t="shared" ref="E10:H10" si="0">AVERAGE(E2:E9)</f>
        <v>1.016503649875</v>
      </c>
      <c r="F10" s="2"/>
      <c r="G10" s="2">
        <f t="shared" si="0"/>
        <v>1099.84166125</v>
      </c>
      <c r="H10" s="2">
        <f t="shared" si="0"/>
        <v>9.9295854749999996E-2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DA49-3E2A-4B47-8F7E-BFE1F909DCE3}">
  <dimension ref="A1:F6"/>
  <sheetViews>
    <sheetView tabSelected="1" workbookViewId="0">
      <selection activeCell="I20" sqref="I20"/>
    </sheetView>
  </sheetViews>
  <sheetFormatPr defaultRowHeight="14"/>
  <cols>
    <col min="1" max="16384" width="8.6640625" style="1"/>
  </cols>
  <sheetData>
    <row r="1" spans="1:6">
      <c r="A1" s="1" t="s">
        <v>16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18</v>
      </c>
    </row>
    <row r="2" spans="1:6">
      <c r="A2" t="s">
        <v>25</v>
      </c>
      <c r="B2" s="1" t="s">
        <v>3</v>
      </c>
      <c r="C2" s="3">
        <v>0.60475828325000003</v>
      </c>
      <c r="D2" s="3">
        <v>0.79187744037500007</v>
      </c>
      <c r="E2" s="3">
        <v>603.63827628749993</v>
      </c>
      <c r="F2" s="3">
        <v>0.11419019112499999</v>
      </c>
    </row>
    <row r="3" spans="1:6">
      <c r="A3" t="s">
        <v>25</v>
      </c>
      <c r="B3" s="1" t="s">
        <v>12</v>
      </c>
      <c r="C3" s="3">
        <v>0.72855753512499999</v>
      </c>
      <c r="D3" s="3">
        <v>0.9790983285</v>
      </c>
      <c r="E3" s="3">
        <v>736.76734877499996</v>
      </c>
      <c r="F3" s="3">
        <v>0.12288114424999999</v>
      </c>
    </row>
    <row r="4" spans="1:6">
      <c r="A4" t="s">
        <v>25</v>
      </c>
      <c r="B4" s="1" t="s">
        <v>13</v>
      </c>
      <c r="C4" s="3">
        <v>0.70120230887500001</v>
      </c>
      <c r="D4" s="3">
        <v>0.97426967587500002</v>
      </c>
      <c r="E4" s="3">
        <v>907.92552654999997</v>
      </c>
      <c r="F4" s="3">
        <v>9.7647547750000008E-2</v>
      </c>
    </row>
    <row r="5" spans="1:6">
      <c r="A5" t="s">
        <v>25</v>
      </c>
      <c r="B5" s="1" t="s">
        <v>14</v>
      </c>
      <c r="C5" s="3">
        <v>0.74467890187499997</v>
      </c>
      <c r="D5" s="3">
        <v>1.016503649875</v>
      </c>
      <c r="E5" s="3">
        <v>1099.84166125</v>
      </c>
      <c r="F5" s="3">
        <v>9.9295854749999996E-2</v>
      </c>
    </row>
    <row r="6" spans="1:6">
      <c r="A6" t="s">
        <v>25</v>
      </c>
      <c r="B6" s="1" t="s">
        <v>15</v>
      </c>
      <c r="C6" s="1">
        <f>AVERAGE(C2:C5)</f>
        <v>0.69479925728125003</v>
      </c>
      <c r="D6" s="1">
        <f t="shared" ref="D6:F6" si="0">AVERAGE(D2:D5)</f>
        <v>0.94043727365625007</v>
      </c>
      <c r="E6" s="1">
        <f t="shared" si="0"/>
        <v>837.043203215625</v>
      </c>
      <c r="F6" s="1">
        <f t="shared" si="0"/>
        <v>0.10850368446875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2026-07-14T06:09:31Z</dcterms:created>
  <dcterms:modified xsi:type="dcterms:W3CDTF">2026-07-14T06:09:33Z</dcterms:modified>
</cp:coreProperties>
</file>