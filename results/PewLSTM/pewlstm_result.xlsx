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teven\Desktop\GitHub\TFB\results\PewLSTM\"/>
    </mc:Choice>
  </mc:AlternateContent>
  <xr:revisionPtr revIDLastSave="0" documentId="13_ncr:1_{AD258789-1AC9-4FA0-BF0B-C98EA6898C8B}" xr6:coauthVersionLast="47" xr6:coauthVersionMax="47" xr10:uidLastSave="{00000000-0000-0000-0000-000000000000}"/>
  <bookViews>
    <workbookView xWindow="13460" yWindow="3160" windowWidth="21790" windowHeight="15370" activeTab="4" xr2:uid="{00000000-000D-0000-FFFF-FFFF00000000}"/>
  </bookViews>
  <sheets>
    <sheet name="d12" sheetId="2" r:id="rId1"/>
    <sheet name="d24" sheetId="3" r:id="rId2"/>
    <sheet name="d36" sheetId="4" r:id="rId3"/>
    <sheet name="d48" sheetId="5" r:id="rId4"/>
    <sheet name="overall" sheetId="1" r:id="rId5"/>
  </sheets>
  <definedNames>
    <definedName name="ExternalData_1" localSheetId="0" hidden="1">'d12'!$A$1:$K$9</definedName>
    <definedName name="ExternalData_1" localSheetId="1" hidden="1">'d24'!$A$1:$K$9</definedName>
    <definedName name="ExternalData_1" localSheetId="2" hidden="1">'d36'!$A$1:$K$9</definedName>
    <definedName name="ExternalData_1" localSheetId="3" hidden="1">'d48'!$A$1:$K$9</definedName>
    <definedName name="ExternalData_1" localSheetId="4" hidden="1">overall!$A$1:$F$6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" l="1"/>
  <c r="C3" i="1"/>
  <c r="E10" i="2"/>
  <c r="G10" i="2"/>
  <c r="H10" i="2"/>
  <c r="D10" i="2"/>
  <c r="F5" i="1"/>
  <c r="E5" i="1"/>
  <c r="D5" i="1"/>
  <c r="C5" i="1"/>
  <c r="E10" i="5"/>
  <c r="G10" i="5"/>
  <c r="H10" i="5"/>
  <c r="D10" i="5"/>
  <c r="F4" i="1"/>
  <c r="E4" i="1"/>
  <c r="D4" i="1"/>
  <c r="C4" i="1"/>
  <c r="D10" i="4"/>
  <c r="H10" i="4"/>
  <c r="G10" i="4"/>
  <c r="E10" i="4"/>
  <c r="F3" i="1"/>
  <c r="F6" i="1" s="1"/>
  <c r="E3" i="1"/>
  <c r="E6" i="1" s="1"/>
  <c r="D3" i="1"/>
  <c r="D6" i="1" s="1"/>
  <c r="H10" i="3"/>
  <c r="G10" i="3"/>
  <c r="E10" i="3"/>
  <c r="D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F464FF-0369-417D-9707-43C26F0F2F07}" keepAlive="1" name="Query - d12" description="Connection to the 'd12' query in the workbook." type="5" refreshedVersion="8" background="1" saveData="1">
    <dbPr connection="Provider=Microsoft.Mashup.OleDb.1;Data Source=$Workbook$;Location=d12;Extended Properties=&quot;&quot;" command="SELECT * FROM [d12]"/>
  </connection>
  <connection id="2" xr16:uid="{7D6058C8-3B3B-4614-A4AF-A495E276761A}" keepAlive="1" name="Query - d12 (2)" description="Connection to the 'd12 (2)' query in the workbook." type="5" refreshedVersion="8" background="1" saveData="1">
    <dbPr connection="Provider=Microsoft.Mashup.OleDb.1;Data Source=$Workbook$;Location=&quot;d12 (2)&quot;;Extended Properties=&quot;&quot;" command="SELECT * FROM [d12 (2)]"/>
  </connection>
  <connection id="3" xr16:uid="{EB1E7808-4675-4A43-A98F-71578AF2622B}" keepAlive="1" name="Query - d24" description="Connection to the 'd24' query in the workbook." type="5" refreshedVersion="8" background="1" saveData="1">
    <dbPr connection="Provider=Microsoft.Mashup.OleDb.1;Data Source=$Workbook$;Location=d24;Extended Properties=&quot;&quot;" command="SELECT * FROM [d24]"/>
  </connection>
  <connection id="4" xr16:uid="{FDDBB277-38C7-4EA1-8B51-921D62B10444}" keepAlive="1" name="Query - d36" description="Connection to the 'd36' query in the workbook." type="5" refreshedVersion="8" background="1" saveData="1">
    <dbPr connection="Provider=Microsoft.Mashup.OleDb.1;Data Source=$Workbook$;Location=d36;Extended Properties=&quot;&quot;" command="SELECT * FROM [d36]"/>
  </connection>
  <connection id="5" xr16:uid="{F897879D-8905-4164-AED3-0A85B81BE60C}" keepAlive="1" name="Query - d48" description="Connection to the 'd48' query in the workbook." type="5" refreshedVersion="8" background="1" saveData="1">
    <dbPr connection="Provider=Microsoft.Mashup.OleDb.1;Data Source=$Workbook$;Location=d48;Extended Properties=&quot;&quot;" command="SELECT * FROM [d48]"/>
  </connection>
  <connection id="6" xr16:uid="{57C361B2-8A5A-4D66-A444-E16FF016E46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7" xr16:uid="{0900DE62-0103-49A1-92CF-0B783D28F81D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8" xr16:uid="{D419BF3D-4ED2-4899-BAA4-1F2B485E7E37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9" xr16:uid="{DEBE4D59-1C78-4441-92C1-6BEB47A5D6C4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10" xr16:uid="{997E5D8E-3B8C-4DAE-859D-9A7B4E20C0F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1" xr16:uid="{8609CEB3-7125-4DDE-99F8-82E5E9C65291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2" xr16:uid="{C31D8FFD-4FE8-493B-9A0D-D67D24677B6C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3" xr16:uid="{4A11BE65-BB10-4E9D-B468-A0EE6583CCE8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14" xr16:uid="{24BD81C2-9D9A-4656-A61D-1374B578FE8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5" xr16:uid="{85055DA7-24AA-4DDA-A6BB-6B89E8F78961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6" xr16:uid="{FD0F341F-761C-4950-A91F-7B49C1E25309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7" xr16:uid="{FF4C204C-0D84-4A71-89A2-565D1075D9F1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18" xr16:uid="{E4C4AE24-36EE-42DD-870C-496496EBADF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9" xr16:uid="{B0FD59B6-DF15-4C65-A90F-0AB8277D5AC3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20" xr16:uid="{378346BF-6388-46F8-9F19-BB8B76623FDE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21" xr16:uid="{A8BA1485-B45E-4CAA-92D1-8AD094F31AC6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</connections>
</file>

<file path=xl/sharedStrings.xml><?xml version="1.0" encoding="utf-8"?>
<sst xmlns="http://schemas.openxmlformats.org/spreadsheetml/2006/main" count="284" uniqueCount="36">
  <si>
    <t>model_name</t>
  </si>
  <si>
    <t>strategy_args</t>
  </si>
  <si>
    <t>model_params</t>
  </si>
  <si>
    <t>mae</t>
  </si>
  <si>
    <t>rmse</t>
  </si>
  <si>
    <t>file_name</t>
  </si>
  <si>
    <t>fit_time</t>
  </si>
  <si>
    <t>inference_time</t>
  </si>
  <si>
    <t>actual_data</t>
  </si>
  <si>
    <t>inference_data</t>
  </si>
  <si>
    <t>log_info</t>
  </si>
  <si>
    <t>PewLSTM</t>
  </si>
  <si>
    <t>{"deterministic": "efficient", "horizon": 288, "save_true_pred": false, "seed": 2026, "strategy_name": "fixed_forecast", "target_channel": null, "train_ratio_in_tv": 0.8}</t>
  </si>
  <si>
    <t>{"batch_size": 4, "dropout": 0.1, "hidden_size": 64, "horizon": 288, "lr": 0.001, "norm": true, "num_epochs": 25, "num_layers": 2, "patience": 5, "pred_len": 288, "seq_len": 576, "weather_size": 72}</t>
  </si>
  <si>
    <t>event_0.csv</t>
  </si>
  <si>
    <t/>
  </si>
  <si>
    <t>event_1.csv</t>
  </si>
  <si>
    <t>event_2.csv</t>
  </si>
  <si>
    <t>event_3.csv</t>
  </si>
  <si>
    <t>event_4.csv</t>
  </si>
  <si>
    <t>event_5.csv</t>
  </si>
  <si>
    <t>event_6.csv</t>
  </si>
  <si>
    <t>event_7.csv</t>
  </si>
  <si>
    <t>{"deterministic": "efficient", "horizon": 576, "save_true_pred": false, "seed": 2026, "strategy_name": "fixed_forecast", "target_channel": null, "train_ratio_in_tv": 0.8}</t>
  </si>
  <si>
    <t>{"batch_size": 4, "dropout": 0.1, "hidden_size": 64, "horizon": 576, "lr": 0.001, "norm": true, "num_epochs": 25, "num_layers": 2, "patience": 5, "pred_len": 576, "seq_len": 576, "weather_size": 72}</t>
  </si>
  <si>
    <t>{"deterministic": "efficient", "horizon": 864, "save_true_pred": false, "seed": 2026, "strategy_name": "fixed_forecast", "target_channel": null, "train_ratio_in_tv": 0.8}</t>
  </si>
  <si>
    <t>{"batch_size": 4, "dropout": 0.1, "hidden_size": 64, "horizon": 864, "lr": 0.001, "norm": true, "num_epochs": 25, "num_layers": 2, "patience": 5, "pred_len": 864, "seq_len": 576, "weather_size": 72}</t>
  </si>
  <si>
    <t>{"deterministic": "efficient", "horizon": 1152, "save_true_pred": false, "seed": 2026, "strategy_name": "fixed_forecast", "target_channel": null, "train_ratio_in_tv": 0.8}</t>
  </si>
  <si>
    <t>{"batch_size": 4, "dropout": 0.1, "hidden_size": 64, "horizon": 1152, "lr": 0.001, "norm": true, "num_epochs": 25, "num_layers": 2, "patience": 5, "pred_len": 1152, "seq_len": 576, "weather_size": 72}</t>
  </si>
  <si>
    <t>horizon</t>
    <phoneticPr fontId="1" type="noConversion"/>
  </si>
  <si>
    <t>d12</t>
  </si>
  <si>
    <t>d24</t>
  </si>
  <si>
    <t>d36</t>
  </si>
  <si>
    <t>d48</t>
  </si>
  <si>
    <t>ALL</t>
  </si>
  <si>
    <t>rmse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</si>
</sst>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03D720-E376-459B-86B9-E4FB37CE677B}" autoFormatId="16" applyNumberFormats="0" applyBorderFormats="0" applyFontFormats="0" applyPatternFormats="0" applyAlignmentFormats="0" applyWidthHeightFormats="0">
  <queryTableRefresh nextId="13">
    <queryTableFields count="11">
      <queryTableField id="2" name="model_name" tableColumnId="2"/>
      <queryTableField id="3" name="strategy_args" tableColumnId="3"/>
      <queryTableField id="4" name="model_params" tableColumnId="4"/>
      <queryTableField id="5" name="mae" tableColumnId="5"/>
      <queryTableField id="6" name="rmse" tableColumnId="6"/>
      <queryTableField id="7" name="file_name" tableColumnId="7"/>
      <queryTableField id="8" name="fit_time" tableColumnId="8"/>
      <queryTableField id="9" name="inference_time" tableColumnId="9"/>
      <queryTableField id="10" name="actual_data" tableColumnId="10"/>
      <queryTableField id="11" name="inference_data" tableColumnId="11"/>
      <queryTableField id="12" name="log_info" tableColumnId="12"/>
    </queryTableFields>
    <queryTableDeletedFields count="1">
      <deletedField name="Source.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DA160B4-B457-46A3-8C1A-CBB00F163977}" autoFormatId="16" applyNumberFormats="0" applyBorderFormats="0" applyFontFormats="0" applyPatternFormats="0" applyAlignmentFormats="0" applyWidthHeightFormats="0">
  <queryTableRefresh nextId="13">
    <queryTableFields count="11">
      <queryTableField id="2" name="model_name" tableColumnId="2"/>
      <queryTableField id="3" name="strategy_args" tableColumnId="3"/>
      <queryTableField id="4" name="model_params" tableColumnId="4"/>
      <queryTableField id="5" name="mae" tableColumnId="5"/>
      <queryTableField id="6" name="rmse" tableColumnId="6"/>
      <queryTableField id="7" name="file_name" tableColumnId="7"/>
      <queryTableField id="8" name="fit_time" tableColumnId="8"/>
      <queryTableField id="9" name="inference_time" tableColumnId="9"/>
      <queryTableField id="10" name="actual_data" tableColumnId="10"/>
      <queryTableField id="11" name="inference_data" tableColumnId="11"/>
      <queryTableField id="12" name="log_info" tableColumnId="12"/>
    </queryTableFields>
    <queryTableDeletedFields count="1">
      <deletedField name="Source.Nam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CFE80FC-79BA-4D9C-9797-B92C707CBBF7}" autoFormatId="16" applyNumberFormats="0" applyBorderFormats="0" applyFontFormats="0" applyPatternFormats="0" applyAlignmentFormats="0" applyWidthHeightFormats="0">
  <queryTableRefresh nextId="13">
    <queryTableFields count="11">
      <queryTableField id="2" name="model_name" tableColumnId="2"/>
      <queryTableField id="3" name="strategy_args" tableColumnId="3"/>
      <queryTableField id="4" name="model_params" tableColumnId="4"/>
      <queryTableField id="5" name="mae" tableColumnId="5"/>
      <queryTableField id="6" name="rmse" tableColumnId="6"/>
      <queryTableField id="7" name="file_name" tableColumnId="7"/>
      <queryTableField id="8" name="fit_time" tableColumnId="8"/>
      <queryTableField id="9" name="inference_time" tableColumnId="9"/>
      <queryTableField id="10" name="actual_data" tableColumnId="10"/>
      <queryTableField id="11" name="inference_data" tableColumnId="11"/>
      <queryTableField id="12" name="log_info" tableColumnId="12"/>
    </queryTableFields>
    <queryTableDeletedFields count="1">
      <deletedField name="Source.Nam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1952963-3E01-457B-A5E3-A3D9A175CBE4}" autoFormatId="16" applyNumberFormats="0" applyBorderFormats="0" applyFontFormats="0" applyPatternFormats="0" applyAlignmentFormats="0" applyWidthHeightFormats="0">
  <queryTableRefresh nextId="13">
    <queryTableFields count="11">
      <queryTableField id="2" name="model_name" tableColumnId="2"/>
      <queryTableField id="3" name="strategy_args" tableColumnId="3"/>
      <queryTableField id="4" name="model_params" tableColumnId="4"/>
      <queryTableField id="5" name="mae" tableColumnId="5"/>
      <queryTableField id="6" name="rmse" tableColumnId="6"/>
      <queryTableField id="7" name="file_name" tableColumnId="7"/>
      <queryTableField id="8" name="fit_time" tableColumnId="8"/>
      <queryTableField id="9" name="inference_time" tableColumnId="9"/>
      <queryTableField id="10" name="actual_data" tableColumnId="10"/>
      <queryTableField id="11" name="inference_data" tableColumnId="11"/>
      <queryTableField id="12" name="log_info" tableColumnId="12"/>
    </queryTableFields>
    <queryTableDeletedFields count="1">
      <deletedField name="Source.Name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7F69B34-AAFF-4E15-A514-6A17E1D3F785}" autoFormatId="16" applyNumberFormats="0" applyBorderFormats="0" applyFontFormats="0" applyPatternFormats="0" applyAlignmentFormats="0" applyWidthHeightFormats="0">
  <queryTableRefresh nextId="14">
    <queryTableFields count="6">
      <queryTableField id="2" name="model_name" tableColumnId="2"/>
      <queryTableField id="13" dataBound="0" tableColumnId="1"/>
      <queryTableField id="5" name="mae" tableColumnId="5"/>
      <queryTableField id="6" name="rmse" tableColumnId="6"/>
      <queryTableField id="8" name="fit_time" tableColumnId="8"/>
      <queryTableField id="9" name="inference_time" tableColumnId="9"/>
    </queryTableFields>
    <queryTableDeletedFields count="7">
      <deletedField name="Source.Name"/>
      <deletedField name="actual_data"/>
      <deletedField name="inference_data"/>
      <deletedField name="log_info"/>
      <deletedField name="strategy_args"/>
      <deletedField name="model_params"/>
      <deletedField name="file_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974ED-1B4B-4B17-97D9-A245BBDD793F}" name="d12_" displayName="d12_" ref="A1:K10" tableType="queryTable" totalsRowCount="1">
  <autoFilter ref="A1:K9" xr:uid="{672974ED-1B4B-4B17-97D9-A245BBDD793F}"/>
  <tableColumns count="11">
    <tableColumn id="2" xr3:uid="{1022E860-EBBD-4E1B-A0DA-D12E8A9C4D71}" uniqueName="2" name="model_name" queryTableFieldId="2" dataDxfId="31" totalsRowDxfId="13"/>
    <tableColumn id="3" xr3:uid="{B2C1ECCD-2010-431E-B806-EF10ED5B1831}" uniqueName="3" name="strategy_args" queryTableFieldId="3" dataDxfId="30" totalsRowDxfId="12"/>
    <tableColumn id="4" xr3:uid="{2184D320-42CF-47DB-B54C-F27244604723}" uniqueName="4" name="model_params" queryTableFieldId="4" dataDxfId="29" totalsRowDxfId="11"/>
    <tableColumn id="5" xr3:uid="{B81BC143-048B-42E6-B890-9BE75D1838E7}" uniqueName="5" name="mae" totalsRowFunction="average" queryTableFieldId="5"/>
    <tableColumn id="6" xr3:uid="{5854E5A2-E39F-46FB-B173-24286B19F648}" uniqueName="6" name="rmse" totalsRowFunction="average" queryTableFieldId="6"/>
    <tableColumn id="7" xr3:uid="{ED28FBE1-28AD-4B6F-BE09-AE5C52A1B545}" uniqueName="7" name="file_name" queryTableFieldId="7" dataDxfId="28"/>
    <tableColumn id="8" xr3:uid="{C8E4D773-503A-4F30-B182-FDE421F2F5B7}" uniqueName="8" name="fit_time" totalsRowFunction="average" queryTableFieldId="8"/>
    <tableColumn id="9" xr3:uid="{7A29FA12-A367-4CEF-904D-E5BE35E4F3A5}" uniqueName="9" name="inference_time" totalsRowFunction="average" queryTableFieldId="9"/>
    <tableColumn id="10" xr3:uid="{8B25077B-15FD-41F4-B34B-D479F050B234}" uniqueName="10" name="actual_data" queryTableFieldId="10"/>
    <tableColumn id="11" xr3:uid="{BBFFE0AF-73B4-444A-8B74-B062B67AF240}" uniqueName="11" name="inference_data" queryTableFieldId="11"/>
    <tableColumn id="12" xr3:uid="{B3CA7ADF-A33C-4B53-95DF-6F38167A3A68}" uniqueName="12" name="log_info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74B7BC-076A-4392-841C-E623DC30AF68}" name="d24_" displayName="d24_" ref="A1:K10" tableType="queryTable" totalsRowCount="1">
  <autoFilter ref="A1:K9" xr:uid="{5274B7BC-076A-4392-841C-E623DC30AF68}"/>
  <tableColumns count="11">
    <tableColumn id="2" xr3:uid="{68149A24-A152-4104-A9E0-A9F585F3DBA9}" uniqueName="2" name="model_name" queryTableFieldId="2" dataDxfId="27" totalsRowDxfId="10"/>
    <tableColumn id="3" xr3:uid="{12AEABB0-C460-4441-BA90-CC88A4B77B90}" uniqueName="3" name="strategy_args" queryTableFieldId="3" dataDxfId="26" totalsRowDxfId="9"/>
    <tableColumn id="4" xr3:uid="{8B3B421E-5406-4F1A-B666-25AA538A803E}" uniqueName="4" name="model_params" queryTableFieldId="4" dataDxfId="25" totalsRowDxfId="8"/>
    <tableColumn id="5" xr3:uid="{DFBD2E04-4EC6-4DC7-960C-29E5FEF817E8}" uniqueName="5" name="mae" totalsRowFunction="average" queryTableFieldId="5"/>
    <tableColumn id="6" xr3:uid="{91CE830D-EE6B-4883-A8C6-17387A877F76}" uniqueName="6" name="rmse" totalsRowFunction="average" queryTableFieldId="6"/>
    <tableColumn id="7" xr3:uid="{4B156810-B108-43A2-A67F-569794199087}" uniqueName="7" name="file_name" queryTableFieldId="7" dataDxfId="24" totalsRowDxfId="7"/>
    <tableColumn id="8" xr3:uid="{0F7BA36F-C597-44BC-8486-F0AF7B5F4F08}" uniqueName="8" name="fit_time" totalsRowFunction="average" queryTableFieldId="8"/>
    <tableColumn id="9" xr3:uid="{730C48EF-5E8A-457C-8E1E-C7693FBDA4E5}" uniqueName="9" name="inference_time" totalsRowFunction="average" queryTableFieldId="9"/>
    <tableColumn id="10" xr3:uid="{129D27E0-6695-46E0-A0DC-7947683251E9}" uniqueName="10" name="actual_data" queryTableFieldId="10"/>
    <tableColumn id="11" xr3:uid="{1B01F209-9270-4739-BFEB-64847866B2A6}" uniqueName="11" name="inference_data" queryTableFieldId="11"/>
    <tableColumn id="12" xr3:uid="{280D1B72-71D3-422B-94B4-9CD8312AF480}" uniqueName="12" name="log_info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8D49BD-B338-4F35-807C-3A0A4C2F6C9B}" name="d36_" displayName="d36_" ref="A1:K10" tableType="queryTable" totalsRowCount="1">
  <autoFilter ref="A1:K9" xr:uid="{568D49BD-B338-4F35-807C-3A0A4C2F6C9B}"/>
  <tableColumns count="11">
    <tableColumn id="2" xr3:uid="{6EB2F13C-832C-46CF-A90E-DE2FB37A6B39}" uniqueName="2" name="model_name" queryTableFieldId="2" dataDxfId="23" totalsRowDxfId="6"/>
    <tableColumn id="3" xr3:uid="{AA1C1746-AB13-4398-AA49-74BD24715B3D}" uniqueName="3" name="strategy_args" queryTableFieldId="3" dataDxfId="22" totalsRowDxfId="5"/>
    <tableColumn id="4" xr3:uid="{8D885332-AF62-4D51-A855-F118A5290006}" uniqueName="4" name="model_params" queryTableFieldId="4" dataDxfId="21" totalsRowDxfId="4"/>
    <tableColumn id="5" xr3:uid="{843CD031-E3D5-4F8A-A8DC-179FCF79A872}" uniqueName="5" name="mae" totalsRowFunction="average" queryTableFieldId="5"/>
    <tableColumn id="6" xr3:uid="{718BAE6C-870B-43C2-BC2D-F5B7795DF8F6}" uniqueName="6" name="rmse" totalsRowFunction="average" queryTableFieldId="6"/>
    <tableColumn id="7" xr3:uid="{1489EBFC-E961-4C48-86C0-DA0BF269D78E}" uniqueName="7" name="file_name" queryTableFieldId="7" dataDxfId="20" totalsRowDxfId="3"/>
    <tableColumn id="8" xr3:uid="{D46FBE5D-2A4C-4AEE-89EE-4F194D7AA008}" uniqueName="8" name="fit_time" totalsRowFunction="average" queryTableFieldId="8"/>
    <tableColumn id="9" xr3:uid="{CC44E04A-3036-40BD-A7D3-1F850058AD09}" uniqueName="9" name="inference_time" totalsRowFunction="average" queryTableFieldId="9"/>
    <tableColumn id="10" xr3:uid="{50449809-FDDF-4410-B269-B0875A157629}" uniqueName="10" name="actual_data" queryTableFieldId="10"/>
    <tableColumn id="11" xr3:uid="{02E37957-C2CE-41F9-A353-F3CDBD23143C}" uniqueName="11" name="inference_data" queryTableFieldId="11"/>
    <tableColumn id="12" xr3:uid="{D402496F-BA4E-4F01-8AB9-989B0FB354E7}" uniqueName="12" name="log_info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5BC338-CB00-4266-887F-E15713842CAF}" name="d48_" displayName="d48_" ref="A1:K10" tableType="queryTable" totalsRowCount="1">
  <autoFilter ref="A1:K9" xr:uid="{F25BC338-CB00-4266-887F-E15713842CAF}"/>
  <tableColumns count="11">
    <tableColumn id="2" xr3:uid="{E231A3DA-02C0-4B39-B608-E20A8C796D40}" uniqueName="2" name="model_name" queryTableFieldId="2" dataDxfId="19" totalsRowDxfId="2"/>
    <tableColumn id="3" xr3:uid="{D9B28FA1-37C5-488E-ABC6-254F1B45BF42}" uniqueName="3" name="strategy_args" queryTableFieldId="3" dataDxfId="18" totalsRowDxfId="1"/>
    <tableColumn id="4" xr3:uid="{39DE6416-737B-4EA6-BD28-2F04CFDE2DD1}" uniqueName="4" name="model_params" queryTableFieldId="4" dataDxfId="17" totalsRowDxfId="0"/>
    <tableColumn id="5" xr3:uid="{C11B35DB-1184-424C-ABDF-AB3195894DC1}" uniqueName="5" name="mae" totalsRowFunction="average" queryTableFieldId="5"/>
    <tableColumn id="6" xr3:uid="{37262739-B954-4C82-954B-877CF433066F}" uniqueName="6" name="rmse" totalsRowFunction="average" queryTableFieldId="6"/>
    <tableColumn id="7" xr3:uid="{8F50BC71-70D5-4CBD-9511-9E3111064ACF}" uniqueName="7" name="file_name" queryTableFieldId="7" dataDxfId="16"/>
    <tableColumn id="8" xr3:uid="{C61DE87A-788B-47D4-8553-4AE24B0E2826}" uniqueName="8" name="fit_time" totalsRowFunction="average" queryTableFieldId="8"/>
    <tableColumn id="9" xr3:uid="{5463AC90-00A1-4E92-A811-3D719FDACBE1}" uniqueName="9" name="inference_time" totalsRowFunction="average" queryTableFieldId="9"/>
    <tableColumn id="10" xr3:uid="{76234470-CECD-4F91-AEF4-079573257784}" uniqueName="10" name="actual_data" queryTableFieldId="10"/>
    <tableColumn id="11" xr3:uid="{A0CECCB6-F78D-4025-B671-911FDF70A321}" uniqueName="11" name="inference_data" queryTableFieldId="11"/>
    <tableColumn id="12" xr3:uid="{FC79DC6D-0AC1-403F-AC97-6092E746552A}" uniqueName="12" name="log_info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B99E83-D388-4A63-94D6-0DECECC8A039}" name="d12_6" displayName="d12_6" ref="A1:F6" tableType="queryTable" totalsRowShown="0">
  <autoFilter ref="A1:F6" xr:uid="{D6B99E83-D388-4A63-94D6-0DECECC8A039}"/>
  <tableColumns count="6">
    <tableColumn id="2" xr3:uid="{4EE10D01-3A6E-4C3A-87C9-7991A6E61F02}" uniqueName="2" name="model_name" queryTableFieldId="2" dataDxfId="15"/>
    <tableColumn id="1" xr3:uid="{926B63A6-6E50-4E4B-B78D-959E91315FFA}" uniqueName="1" name="horizon" queryTableFieldId="13" dataDxfId="14"/>
    <tableColumn id="5" xr3:uid="{21127AD4-4EA9-4E31-9DC3-EF6B1C1A6FF8}" uniqueName="5" name="mae" queryTableFieldId="5"/>
    <tableColumn id="6" xr3:uid="{9ECD7BCE-6D26-4F1F-BE1C-740DA256DA0A}" uniqueName="6" name="rmse" queryTableFieldId="6"/>
    <tableColumn id="8" xr3:uid="{10C40453-B4D3-4E59-827A-2AAC09F87859}" uniqueName="8" name="fit_time" queryTableFieldId="8"/>
    <tableColumn id="9" xr3:uid="{287BACC2-00DE-44C4-BA35-B87611249D2D}" uniqueName="9" name="inference_tim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7643A-792B-4772-93E0-78036E399FE3}">
  <dimension ref="A1:K10"/>
  <sheetViews>
    <sheetView workbookViewId="0">
      <selection activeCell="F10" sqref="F10"/>
    </sheetView>
  </sheetViews>
  <sheetFormatPr defaultRowHeight="14"/>
  <cols>
    <col min="1" max="1" width="14" bestFit="1" customWidth="1"/>
    <col min="2" max="2" width="12.33203125" customWidth="1"/>
    <col min="3" max="3" width="13.83203125" customWidth="1"/>
    <col min="4" max="5" width="12.33203125" bestFit="1" customWidth="1"/>
    <col min="6" max="6" width="11.25" bestFit="1" customWidth="1"/>
    <col min="7" max="7" width="12.33203125" bestFit="1" customWidth="1"/>
    <col min="8" max="8" width="15.83203125" bestFit="1" customWidth="1"/>
    <col min="9" max="9" width="12.58203125" bestFit="1" customWidth="1"/>
    <col min="10" max="10" width="15.6640625" bestFit="1" customWidth="1"/>
    <col min="11" max="11" width="10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 s="1" t="s">
        <v>13</v>
      </c>
      <c r="D2">
        <v>0.42579777860898471</v>
      </c>
      <c r="E2">
        <v>0.65212420798405835</v>
      </c>
      <c r="F2" s="1" t="s">
        <v>14</v>
      </c>
      <c r="G2">
        <v>319.90878438949585</v>
      </c>
      <c r="H2">
        <v>0.2275846004486084</v>
      </c>
      <c r="I2" t="s">
        <v>15</v>
      </c>
      <c r="J2" t="s">
        <v>15</v>
      </c>
      <c r="K2" t="s">
        <v>15</v>
      </c>
    </row>
    <row r="3" spans="1:11">
      <c r="A3" s="1" t="s">
        <v>11</v>
      </c>
      <c r="B3" s="1" t="s">
        <v>12</v>
      </c>
      <c r="C3" s="1" t="s">
        <v>13</v>
      </c>
      <c r="D3">
        <v>0.38817384337677602</v>
      </c>
      <c r="E3">
        <v>0.63749425228822476</v>
      </c>
      <c r="F3" s="1" t="s">
        <v>16</v>
      </c>
      <c r="G3">
        <v>314.58073878288269</v>
      </c>
      <c r="H3">
        <v>0.20499372482299805</v>
      </c>
      <c r="I3" t="s">
        <v>15</v>
      </c>
      <c r="J3" t="s">
        <v>15</v>
      </c>
      <c r="K3" t="s">
        <v>15</v>
      </c>
    </row>
    <row r="4" spans="1:11">
      <c r="A4" s="1" t="s">
        <v>11</v>
      </c>
      <c r="B4" s="1" t="s">
        <v>12</v>
      </c>
      <c r="C4" s="1" t="s">
        <v>13</v>
      </c>
      <c r="D4">
        <v>0.43996615950069401</v>
      </c>
      <c r="E4">
        <v>0.67700890765078892</v>
      </c>
      <c r="F4" s="1" t="s">
        <v>17</v>
      </c>
      <c r="G4">
        <v>327.50731825828552</v>
      </c>
      <c r="H4">
        <v>0.20497465133666992</v>
      </c>
      <c r="I4" t="s">
        <v>15</v>
      </c>
      <c r="J4" t="s">
        <v>15</v>
      </c>
      <c r="K4" t="s">
        <v>15</v>
      </c>
    </row>
    <row r="5" spans="1:11">
      <c r="A5" s="1" t="s">
        <v>11</v>
      </c>
      <c r="B5" s="1" t="s">
        <v>12</v>
      </c>
      <c r="C5" s="1" t="s">
        <v>13</v>
      </c>
      <c r="D5">
        <v>0.35922368590515563</v>
      </c>
      <c r="E5">
        <v>0.62104291132169043</v>
      </c>
      <c r="F5" s="1" t="s">
        <v>18</v>
      </c>
      <c r="G5">
        <v>348.28294134140015</v>
      </c>
      <c r="H5">
        <v>0.21108651161193848</v>
      </c>
      <c r="I5" t="s">
        <v>15</v>
      </c>
      <c r="J5" t="s">
        <v>15</v>
      </c>
      <c r="K5" t="s">
        <v>15</v>
      </c>
    </row>
    <row r="6" spans="1:11">
      <c r="A6" s="1" t="s">
        <v>11</v>
      </c>
      <c r="B6" s="1" t="s">
        <v>12</v>
      </c>
      <c r="C6" s="1" t="s">
        <v>13</v>
      </c>
      <c r="D6">
        <v>0.3855468925880754</v>
      </c>
      <c r="E6">
        <v>0.63939009302893357</v>
      </c>
      <c r="F6" s="1" t="s">
        <v>19</v>
      </c>
      <c r="G6">
        <v>333.6886990070343</v>
      </c>
      <c r="H6">
        <v>0.20684194564819336</v>
      </c>
      <c r="I6" t="s">
        <v>15</v>
      </c>
      <c r="J6" t="s">
        <v>15</v>
      </c>
      <c r="K6" t="s">
        <v>15</v>
      </c>
    </row>
    <row r="7" spans="1:11">
      <c r="A7" s="1" t="s">
        <v>11</v>
      </c>
      <c r="B7" s="1" t="s">
        <v>12</v>
      </c>
      <c r="C7" s="1" t="s">
        <v>13</v>
      </c>
      <c r="D7">
        <v>0.36705416634971272</v>
      </c>
      <c r="E7">
        <v>0.62114639466302624</v>
      </c>
      <c r="F7" s="1" t="s">
        <v>20</v>
      </c>
      <c r="G7">
        <v>342.8770763874054</v>
      </c>
      <c r="H7">
        <v>0.20392966270446777</v>
      </c>
      <c r="I7" t="s">
        <v>15</v>
      </c>
      <c r="J7" t="s">
        <v>15</v>
      </c>
      <c r="K7" t="s">
        <v>15</v>
      </c>
    </row>
    <row r="8" spans="1:11">
      <c r="A8" s="1" t="s">
        <v>11</v>
      </c>
      <c r="B8" s="1" t="s">
        <v>12</v>
      </c>
      <c r="C8" s="1" t="s">
        <v>13</v>
      </c>
      <c r="D8">
        <v>0.35148699660661581</v>
      </c>
      <c r="E8">
        <v>0.59866733742352218</v>
      </c>
      <c r="F8" s="1" t="s">
        <v>21</v>
      </c>
      <c r="G8">
        <v>387.89091300964355</v>
      </c>
      <c r="H8">
        <v>0.20741057395935059</v>
      </c>
      <c r="I8" t="s">
        <v>15</v>
      </c>
      <c r="J8" t="s">
        <v>15</v>
      </c>
      <c r="K8" t="s">
        <v>15</v>
      </c>
    </row>
    <row r="9" spans="1:11">
      <c r="A9" s="1" t="s">
        <v>11</v>
      </c>
      <c r="B9" s="1" t="s">
        <v>12</v>
      </c>
      <c r="C9" s="1" t="s">
        <v>13</v>
      </c>
      <c r="D9">
        <v>0.36739423673255545</v>
      </c>
      <c r="E9">
        <v>0.63169667484405456</v>
      </c>
      <c r="F9" s="1" t="s">
        <v>22</v>
      </c>
      <c r="G9">
        <v>399.53420829772949</v>
      </c>
      <c r="H9">
        <v>0.20319819450378418</v>
      </c>
      <c r="I9" t="s">
        <v>15</v>
      </c>
      <c r="J9" t="s">
        <v>15</v>
      </c>
      <c r="K9" t="s">
        <v>15</v>
      </c>
    </row>
    <row r="10" spans="1:11">
      <c r="A10" s="1"/>
      <c r="B10" s="1"/>
      <c r="C10" s="1"/>
      <c r="D10">
        <f>SUBTOTAL(101,d12_[mae])</f>
        <v>0.3855804699585712</v>
      </c>
      <c r="E10">
        <f>SUBTOTAL(101,d12_[rmse])</f>
        <v>0.63482134740053731</v>
      </c>
      <c r="G10">
        <f>SUBTOTAL(101,d12_[fit_time])</f>
        <v>346.78383493423462</v>
      </c>
      <c r="H10">
        <f>SUBTOTAL(101,d12_[inference_time])</f>
        <v>0.20875248312950134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B60D-DD2E-4FE3-9042-7CC8D01D6851}">
  <dimension ref="A1:K10"/>
  <sheetViews>
    <sheetView workbookViewId="0">
      <selection activeCell="F10" sqref="F10"/>
    </sheetView>
  </sheetViews>
  <sheetFormatPr defaultRowHeight="14"/>
  <cols>
    <col min="1" max="1" width="14" bestFit="1" customWidth="1"/>
    <col min="2" max="2" width="11.6640625" customWidth="1"/>
    <col min="3" max="3" width="12.5" customWidth="1"/>
    <col min="4" max="5" width="12.33203125" bestFit="1" customWidth="1"/>
    <col min="6" max="6" width="11.25" bestFit="1" customWidth="1"/>
    <col min="7" max="7" width="12.33203125" bestFit="1" customWidth="1"/>
    <col min="8" max="8" width="15.83203125" bestFit="1" customWidth="1"/>
    <col min="9" max="9" width="12.58203125" bestFit="1" customWidth="1"/>
    <col min="10" max="10" width="15.6640625" bestFit="1" customWidth="1"/>
    <col min="11" max="11" width="10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23</v>
      </c>
      <c r="C2" s="1" t="s">
        <v>24</v>
      </c>
      <c r="D2">
        <v>0.37480265689162356</v>
      </c>
      <c r="E2">
        <v>0.57305185356872712</v>
      </c>
      <c r="F2" s="1" t="s">
        <v>14</v>
      </c>
      <c r="G2">
        <v>406.99525594711304</v>
      </c>
      <c r="H2">
        <v>0.31220841407775879</v>
      </c>
      <c r="I2" t="s">
        <v>15</v>
      </c>
      <c r="J2" t="s">
        <v>15</v>
      </c>
      <c r="K2" t="s">
        <v>15</v>
      </c>
    </row>
    <row r="3" spans="1:11">
      <c r="A3" s="1" t="s">
        <v>11</v>
      </c>
      <c r="B3" s="1" t="s">
        <v>23</v>
      </c>
      <c r="C3" s="1" t="s">
        <v>24</v>
      </c>
      <c r="D3">
        <v>0.3495345053569181</v>
      </c>
      <c r="E3">
        <v>0.55096277133353699</v>
      </c>
      <c r="F3" s="1" t="s">
        <v>16</v>
      </c>
      <c r="G3">
        <v>407.2285315990448</v>
      </c>
      <c r="H3">
        <v>0.31081557273864746</v>
      </c>
      <c r="I3" t="s">
        <v>15</v>
      </c>
      <c r="J3" t="s">
        <v>15</v>
      </c>
      <c r="K3" t="s">
        <v>15</v>
      </c>
    </row>
    <row r="4" spans="1:11">
      <c r="A4" s="1" t="s">
        <v>11</v>
      </c>
      <c r="B4" s="1" t="s">
        <v>23</v>
      </c>
      <c r="C4" s="1" t="s">
        <v>24</v>
      </c>
      <c r="D4">
        <v>0.33438717069944107</v>
      </c>
      <c r="E4">
        <v>0.54907491092759386</v>
      </c>
      <c r="F4" s="1" t="s">
        <v>17</v>
      </c>
      <c r="G4">
        <v>497.42674160003662</v>
      </c>
      <c r="H4">
        <v>0.30901145935058594</v>
      </c>
      <c r="I4" t="s">
        <v>15</v>
      </c>
      <c r="J4" t="s">
        <v>15</v>
      </c>
      <c r="K4" t="s">
        <v>15</v>
      </c>
    </row>
    <row r="5" spans="1:11">
      <c r="A5" s="1" t="s">
        <v>11</v>
      </c>
      <c r="B5" s="1" t="s">
        <v>23</v>
      </c>
      <c r="C5" s="1" t="s">
        <v>24</v>
      </c>
      <c r="D5">
        <v>0.30763776156733819</v>
      </c>
      <c r="E5">
        <v>0.53084854885752164</v>
      </c>
      <c r="F5" s="1" t="s">
        <v>18</v>
      </c>
      <c r="G5">
        <v>504.51161003112793</v>
      </c>
      <c r="H5">
        <v>0.31460475921630859</v>
      </c>
      <c r="I5" t="s">
        <v>15</v>
      </c>
      <c r="J5" t="s">
        <v>15</v>
      </c>
      <c r="K5" t="s">
        <v>15</v>
      </c>
    </row>
    <row r="6" spans="1:11">
      <c r="A6" s="1" t="s">
        <v>11</v>
      </c>
      <c r="B6" s="1" t="s">
        <v>23</v>
      </c>
      <c r="C6" s="1" t="s">
        <v>24</v>
      </c>
      <c r="D6">
        <v>0.31968845385611505</v>
      </c>
      <c r="E6">
        <v>0.53043381098328979</v>
      </c>
      <c r="F6" s="1" t="s">
        <v>19</v>
      </c>
      <c r="G6">
        <v>627.71449112892151</v>
      </c>
      <c r="H6">
        <v>0.31152606010437012</v>
      </c>
      <c r="I6" t="s">
        <v>15</v>
      </c>
      <c r="J6" t="s">
        <v>15</v>
      </c>
      <c r="K6" t="s">
        <v>15</v>
      </c>
    </row>
    <row r="7" spans="1:11">
      <c r="A7" s="1" t="s">
        <v>11</v>
      </c>
      <c r="B7" s="1" t="s">
        <v>23</v>
      </c>
      <c r="C7" s="1" t="s">
        <v>24</v>
      </c>
      <c r="D7">
        <v>0.31062445154178953</v>
      </c>
      <c r="E7">
        <v>0.53060074352296616</v>
      </c>
      <c r="F7" s="1" t="s">
        <v>20</v>
      </c>
      <c r="G7">
        <v>437.99005556106567</v>
      </c>
      <c r="H7">
        <v>0.31805300712585449</v>
      </c>
      <c r="I7" t="s">
        <v>15</v>
      </c>
      <c r="J7" t="s">
        <v>15</v>
      </c>
      <c r="K7" t="s">
        <v>15</v>
      </c>
    </row>
    <row r="8" spans="1:11">
      <c r="A8" s="1" t="s">
        <v>11</v>
      </c>
      <c r="B8" s="1" t="s">
        <v>23</v>
      </c>
      <c r="C8" s="1" t="s">
        <v>24</v>
      </c>
      <c r="D8">
        <v>0.37134440787465528</v>
      </c>
      <c r="E8">
        <v>0.65914803685318357</v>
      </c>
      <c r="F8" s="1" t="s">
        <v>21</v>
      </c>
      <c r="G8">
        <v>429.34769487380981</v>
      </c>
      <c r="H8">
        <v>0.31006193161010742</v>
      </c>
      <c r="I8" t="s">
        <v>15</v>
      </c>
      <c r="J8" t="s">
        <v>15</v>
      </c>
      <c r="K8" t="s">
        <v>15</v>
      </c>
    </row>
    <row r="9" spans="1:11">
      <c r="A9" s="1" t="s">
        <v>11</v>
      </c>
      <c r="B9" s="1" t="s">
        <v>23</v>
      </c>
      <c r="C9" s="1" t="s">
        <v>24</v>
      </c>
      <c r="D9">
        <v>0.32291678229872467</v>
      </c>
      <c r="E9">
        <v>0.53443324213330168</v>
      </c>
      <c r="F9" s="1" t="s">
        <v>22</v>
      </c>
      <c r="G9">
        <v>434.90261769294739</v>
      </c>
      <c r="H9">
        <v>0.30921530723571777</v>
      </c>
      <c r="I9" t="s">
        <v>15</v>
      </c>
      <c r="J9" t="s">
        <v>15</v>
      </c>
      <c r="K9" t="s">
        <v>15</v>
      </c>
    </row>
    <row r="10" spans="1:11">
      <c r="A10" s="1"/>
      <c r="B10" s="1"/>
      <c r="C10" s="1"/>
      <c r="D10">
        <f>SUBTOTAL(101,d24_[mae])</f>
        <v>0.33636702376082572</v>
      </c>
      <c r="E10">
        <f>SUBTOTAL(101,d24_[rmse])</f>
        <v>0.55731923977251507</v>
      </c>
      <c r="F10" s="1"/>
      <c r="G10">
        <f>SUBTOTAL(101,d24_[fit_time])</f>
        <v>468.26462480425835</v>
      </c>
      <c r="H10">
        <f>SUBTOTAL(101,d24_[inference_time])</f>
        <v>0.31193706393241882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65E00-FA32-4CDE-8796-F56A59356544}">
  <dimension ref="A1:K10"/>
  <sheetViews>
    <sheetView workbookViewId="0">
      <selection activeCell="F10" sqref="F10"/>
    </sheetView>
  </sheetViews>
  <sheetFormatPr defaultRowHeight="14"/>
  <cols>
    <col min="1" max="1" width="14" bestFit="1" customWidth="1"/>
    <col min="2" max="2" width="11.83203125" customWidth="1"/>
    <col min="3" max="3" width="13.08203125" customWidth="1"/>
    <col min="4" max="5" width="12.33203125" bestFit="1" customWidth="1"/>
    <col min="6" max="6" width="11.25" bestFit="1" customWidth="1"/>
    <col min="7" max="7" width="12.33203125" bestFit="1" customWidth="1"/>
    <col min="8" max="8" width="15.83203125" bestFit="1" customWidth="1"/>
    <col min="9" max="9" width="12.58203125" bestFit="1" customWidth="1"/>
    <col min="10" max="10" width="15.6640625" bestFit="1" customWidth="1"/>
    <col min="11" max="11" width="10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25</v>
      </c>
      <c r="C2" s="1" t="s">
        <v>26</v>
      </c>
      <c r="D2">
        <v>0.56951112180742836</v>
      </c>
      <c r="E2">
        <v>0.87522657166915629</v>
      </c>
      <c r="F2" s="1" t="s">
        <v>14</v>
      </c>
      <c r="G2">
        <v>403.03209352493286</v>
      </c>
      <c r="H2">
        <v>0.25954747200012207</v>
      </c>
      <c r="I2" t="s">
        <v>15</v>
      </c>
      <c r="J2" t="s">
        <v>15</v>
      </c>
      <c r="K2" t="s">
        <v>15</v>
      </c>
    </row>
    <row r="3" spans="1:11">
      <c r="A3" s="1" t="s">
        <v>11</v>
      </c>
      <c r="B3" s="1" t="s">
        <v>25</v>
      </c>
      <c r="C3" s="1" t="s">
        <v>26</v>
      </c>
      <c r="D3">
        <v>0.40761074605657305</v>
      </c>
      <c r="E3">
        <v>0.59816316278355919</v>
      </c>
      <c r="F3" s="1" t="s">
        <v>16</v>
      </c>
      <c r="G3">
        <v>626.49587392807007</v>
      </c>
      <c r="H3">
        <v>0.41524314880371094</v>
      </c>
      <c r="I3" t="s">
        <v>15</v>
      </c>
      <c r="J3" t="s">
        <v>15</v>
      </c>
      <c r="K3" t="s">
        <v>15</v>
      </c>
    </row>
    <row r="4" spans="1:11">
      <c r="A4" s="1" t="s">
        <v>11</v>
      </c>
      <c r="B4" s="1" t="s">
        <v>25</v>
      </c>
      <c r="C4" s="1" t="s">
        <v>26</v>
      </c>
      <c r="D4">
        <v>0.36306538652781029</v>
      </c>
      <c r="E4">
        <v>0.56875164284796675</v>
      </c>
      <c r="F4" s="1" t="s">
        <v>17</v>
      </c>
      <c r="G4">
        <v>426.34342670440674</v>
      </c>
      <c r="H4">
        <v>0.42570090293884277</v>
      </c>
      <c r="I4" t="s">
        <v>15</v>
      </c>
      <c r="J4" t="s">
        <v>15</v>
      </c>
      <c r="K4" t="s">
        <v>15</v>
      </c>
    </row>
    <row r="5" spans="1:11">
      <c r="A5" s="1" t="s">
        <v>11</v>
      </c>
      <c r="B5" s="1" t="s">
        <v>25</v>
      </c>
      <c r="C5" s="1" t="s">
        <v>26</v>
      </c>
      <c r="D5">
        <v>0.37759567332009164</v>
      </c>
      <c r="E5">
        <v>0.57782761197384558</v>
      </c>
      <c r="F5" s="1" t="s">
        <v>18</v>
      </c>
      <c r="G5">
        <v>444.35690093040466</v>
      </c>
      <c r="H5">
        <v>0.41774868965148926</v>
      </c>
      <c r="I5" t="s">
        <v>15</v>
      </c>
      <c r="J5" t="s">
        <v>15</v>
      </c>
      <c r="K5" t="s">
        <v>15</v>
      </c>
    </row>
    <row r="6" spans="1:11">
      <c r="A6" s="1" t="s">
        <v>11</v>
      </c>
      <c r="B6" s="1" t="s">
        <v>25</v>
      </c>
      <c r="C6" s="1" t="s">
        <v>26</v>
      </c>
      <c r="D6">
        <v>0.39322751334286316</v>
      </c>
      <c r="E6">
        <v>0.6770926992157289</v>
      </c>
      <c r="F6" s="1" t="s">
        <v>19</v>
      </c>
      <c r="G6">
        <v>508.45878338813782</v>
      </c>
      <c r="H6">
        <v>0.42104697227478027</v>
      </c>
      <c r="I6" t="s">
        <v>15</v>
      </c>
      <c r="J6" t="s">
        <v>15</v>
      </c>
      <c r="K6" t="s">
        <v>15</v>
      </c>
    </row>
    <row r="7" spans="1:11">
      <c r="A7" s="1" t="s">
        <v>11</v>
      </c>
      <c r="B7" s="1" t="s">
        <v>25</v>
      </c>
      <c r="C7" s="1" t="s">
        <v>26</v>
      </c>
      <c r="D7">
        <v>0.33583783644123449</v>
      </c>
      <c r="E7">
        <v>0.61917102974939131</v>
      </c>
      <c r="F7" s="1" t="s">
        <v>20</v>
      </c>
      <c r="G7">
        <v>437.72042346000671</v>
      </c>
      <c r="H7">
        <v>0.42492532730102539</v>
      </c>
      <c r="I7" t="s">
        <v>15</v>
      </c>
      <c r="J7" t="s">
        <v>15</v>
      </c>
      <c r="K7" t="s">
        <v>15</v>
      </c>
    </row>
    <row r="8" spans="1:11">
      <c r="A8" s="1" t="s">
        <v>11</v>
      </c>
      <c r="B8" s="1" t="s">
        <v>25</v>
      </c>
      <c r="C8" s="1" t="s">
        <v>26</v>
      </c>
      <c r="D8">
        <v>0.34756318595151692</v>
      </c>
      <c r="E8">
        <v>0.55501928804997902</v>
      </c>
      <c r="F8" s="1" t="s">
        <v>21</v>
      </c>
      <c r="G8">
        <v>421.74811267852783</v>
      </c>
      <c r="H8">
        <v>0.42473292350769043</v>
      </c>
      <c r="I8" t="s">
        <v>15</v>
      </c>
      <c r="J8" t="s">
        <v>15</v>
      </c>
      <c r="K8" t="s">
        <v>15</v>
      </c>
    </row>
    <row r="9" spans="1:11">
      <c r="A9" s="1" t="s">
        <v>11</v>
      </c>
      <c r="B9" s="1" t="s">
        <v>25</v>
      </c>
      <c r="C9" s="1" t="s">
        <v>26</v>
      </c>
      <c r="D9">
        <v>0.38636726512918995</v>
      </c>
      <c r="E9">
        <v>0.58526673797418116</v>
      </c>
      <c r="F9" s="1" t="s">
        <v>22</v>
      </c>
      <c r="G9">
        <v>517.45239019393921</v>
      </c>
      <c r="H9">
        <v>0.42526149749755859</v>
      </c>
      <c r="I9" t="s">
        <v>15</v>
      </c>
      <c r="J9" t="s">
        <v>15</v>
      </c>
      <c r="K9" t="s">
        <v>15</v>
      </c>
    </row>
    <row r="10" spans="1:11">
      <c r="A10" s="1"/>
      <c r="B10" s="1"/>
      <c r="C10" s="1"/>
      <c r="D10">
        <f>SUBTOTAL(101,d36_[mae])</f>
        <v>0.39759734107208855</v>
      </c>
      <c r="E10">
        <f>SUBTOTAL(101,d36_[rmse])</f>
        <v>0.63206484303297605</v>
      </c>
      <c r="F10" s="1"/>
      <c r="G10">
        <f>SUBTOTAL(101,d36_[fit_time])</f>
        <v>473.20100060105324</v>
      </c>
      <c r="H10">
        <f>SUBTOTAL(101,d36_[inference_time])</f>
        <v>0.40177586674690247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467FC-2636-4933-A149-8C9BDAB656B2}">
  <dimension ref="A1:K10"/>
  <sheetViews>
    <sheetView workbookViewId="0">
      <selection activeCell="C40" sqref="C40"/>
    </sheetView>
  </sheetViews>
  <sheetFormatPr defaultRowHeight="14"/>
  <cols>
    <col min="1" max="1" width="14" bestFit="1" customWidth="1"/>
    <col min="2" max="2" width="12.08203125" customWidth="1"/>
    <col min="3" max="3" width="13.25" customWidth="1"/>
    <col min="4" max="5" width="12.33203125" bestFit="1" customWidth="1"/>
    <col min="6" max="6" width="11.25" bestFit="1" customWidth="1"/>
    <col min="7" max="7" width="12.33203125" bestFit="1" customWidth="1"/>
    <col min="8" max="8" width="15.83203125" bestFit="1" customWidth="1"/>
    <col min="9" max="9" width="12.58203125" bestFit="1" customWidth="1"/>
    <col min="10" max="10" width="15.6640625" bestFit="1" customWidth="1"/>
    <col min="11" max="11" width="10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27</v>
      </c>
      <c r="C2" s="1" t="s">
        <v>28</v>
      </c>
      <c r="D2">
        <v>0.55580115174423284</v>
      </c>
      <c r="E2">
        <v>0.78433065938179836</v>
      </c>
      <c r="F2" s="1" t="s">
        <v>14</v>
      </c>
      <c r="G2">
        <v>503.64333844184875</v>
      </c>
      <c r="H2">
        <v>0.5305178165435791</v>
      </c>
      <c r="I2" t="s">
        <v>15</v>
      </c>
      <c r="J2" t="s">
        <v>15</v>
      </c>
      <c r="K2" t="s">
        <v>15</v>
      </c>
    </row>
    <row r="3" spans="1:11">
      <c r="A3" s="1" t="s">
        <v>11</v>
      </c>
      <c r="B3" s="1" t="s">
        <v>27</v>
      </c>
      <c r="C3" s="1" t="s">
        <v>28</v>
      </c>
      <c r="D3">
        <v>0.51023564513628061</v>
      </c>
      <c r="E3">
        <v>0.72933944756268398</v>
      </c>
      <c r="F3" s="1" t="s">
        <v>16</v>
      </c>
      <c r="G3">
        <v>428.9930727481842</v>
      </c>
      <c r="H3">
        <v>0.53952646255493164</v>
      </c>
      <c r="I3" t="s">
        <v>15</v>
      </c>
      <c r="J3" t="s">
        <v>15</v>
      </c>
      <c r="K3" t="s">
        <v>15</v>
      </c>
    </row>
    <row r="4" spans="1:11">
      <c r="A4" s="1" t="s">
        <v>11</v>
      </c>
      <c r="B4" s="1" t="s">
        <v>27</v>
      </c>
      <c r="C4" s="1" t="s">
        <v>28</v>
      </c>
      <c r="D4">
        <v>0.46390242373617407</v>
      </c>
      <c r="E4">
        <v>0.6727582151660253</v>
      </c>
      <c r="F4" s="1" t="s">
        <v>17</v>
      </c>
      <c r="G4">
        <v>331.77869939804077</v>
      </c>
      <c r="H4">
        <v>0.53525018692016602</v>
      </c>
      <c r="I4" t="s">
        <v>15</v>
      </c>
      <c r="J4" t="s">
        <v>15</v>
      </c>
      <c r="K4" t="s">
        <v>15</v>
      </c>
    </row>
    <row r="5" spans="1:11">
      <c r="A5" s="1" t="s">
        <v>11</v>
      </c>
      <c r="B5" s="1" t="s">
        <v>27</v>
      </c>
      <c r="C5" s="1" t="s">
        <v>28</v>
      </c>
      <c r="D5">
        <v>0.38495803521213406</v>
      </c>
      <c r="E5">
        <v>0.61444692738655049</v>
      </c>
      <c r="F5" s="1" t="s">
        <v>18</v>
      </c>
      <c r="G5">
        <v>429.62411236763</v>
      </c>
      <c r="H5">
        <v>0.53082537651062012</v>
      </c>
      <c r="I5" t="s">
        <v>15</v>
      </c>
      <c r="J5" t="s">
        <v>15</v>
      </c>
      <c r="K5" t="s">
        <v>15</v>
      </c>
    </row>
    <row r="6" spans="1:11">
      <c r="A6" s="1" t="s">
        <v>11</v>
      </c>
      <c r="B6" s="1" t="s">
        <v>27</v>
      </c>
      <c r="C6" s="1" t="s">
        <v>28</v>
      </c>
      <c r="D6">
        <v>0.49281996526128324</v>
      </c>
      <c r="E6">
        <v>0.75024317548056174</v>
      </c>
      <c r="F6" s="1" t="s">
        <v>19</v>
      </c>
      <c r="G6">
        <v>429.69726061820984</v>
      </c>
      <c r="H6">
        <v>0.53708100318908691</v>
      </c>
      <c r="I6" t="s">
        <v>15</v>
      </c>
      <c r="J6" t="s">
        <v>15</v>
      </c>
      <c r="K6" t="s">
        <v>15</v>
      </c>
    </row>
    <row r="7" spans="1:11">
      <c r="A7" s="1" t="s">
        <v>11</v>
      </c>
      <c r="B7" s="1" t="s">
        <v>27</v>
      </c>
      <c r="C7" s="1" t="s">
        <v>28</v>
      </c>
      <c r="D7">
        <v>0.43308566430436857</v>
      </c>
      <c r="E7">
        <v>0.68233397555031972</v>
      </c>
      <c r="F7" s="1" t="s">
        <v>20</v>
      </c>
      <c r="G7">
        <v>499.96306920051575</v>
      </c>
      <c r="H7">
        <v>0.52696037292480469</v>
      </c>
      <c r="I7" t="s">
        <v>15</v>
      </c>
      <c r="J7" t="s">
        <v>15</v>
      </c>
      <c r="K7" t="s">
        <v>15</v>
      </c>
    </row>
    <row r="8" spans="1:11">
      <c r="A8" s="1" t="s">
        <v>11</v>
      </c>
      <c r="B8" s="1" t="s">
        <v>27</v>
      </c>
      <c r="C8" s="1" t="s">
        <v>28</v>
      </c>
      <c r="D8">
        <v>0.51842669595958368</v>
      </c>
      <c r="E8">
        <v>0.78949136598345671</v>
      </c>
      <c r="F8" s="1" t="s">
        <v>21</v>
      </c>
      <c r="G8">
        <v>503.08312606811523</v>
      </c>
      <c r="H8">
        <v>0.53381586074829102</v>
      </c>
      <c r="I8" t="s">
        <v>15</v>
      </c>
      <c r="J8" t="s">
        <v>15</v>
      </c>
      <c r="K8" t="s">
        <v>15</v>
      </c>
    </row>
    <row r="9" spans="1:11">
      <c r="A9" s="1" t="s">
        <v>11</v>
      </c>
      <c r="B9" s="1" t="s">
        <v>27</v>
      </c>
      <c r="C9" s="1" t="s">
        <v>28</v>
      </c>
      <c r="D9">
        <v>0.47575769491544118</v>
      </c>
      <c r="E9">
        <v>0.72678321015818959</v>
      </c>
      <c r="F9" s="1" t="s">
        <v>22</v>
      </c>
      <c r="G9">
        <v>415.70641136169434</v>
      </c>
      <c r="H9">
        <v>0.54015040397644043</v>
      </c>
      <c r="I9" t="s">
        <v>15</v>
      </c>
      <c r="J9" t="s">
        <v>15</v>
      </c>
      <c r="K9" t="s">
        <v>15</v>
      </c>
    </row>
    <row r="10" spans="1:11">
      <c r="A10" s="1"/>
      <c r="B10" s="1"/>
      <c r="C10" s="1"/>
      <c r="D10">
        <f>SUBTOTAL(101,d48_[mae])</f>
        <v>0.47937340953368734</v>
      </c>
      <c r="E10">
        <f>SUBTOTAL(101,d48_[rmse])</f>
        <v>0.71871587208369825</v>
      </c>
      <c r="G10">
        <f>SUBTOTAL(101,d48_[fit_time])</f>
        <v>442.81113627552986</v>
      </c>
      <c r="H10">
        <f>SUBTOTAL(101,d48_[inference_time])</f>
        <v>0.53426593542098999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5" sqref="F15"/>
    </sheetView>
  </sheetViews>
  <sheetFormatPr defaultRowHeight="14"/>
  <cols>
    <col min="1" max="1" width="14" bestFit="1" customWidth="1"/>
    <col min="2" max="2" width="14" customWidth="1"/>
    <col min="3" max="5" width="12.33203125" bestFit="1" customWidth="1"/>
    <col min="6" max="6" width="15.83203125" bestFit="1" customWidth="1"/>
  </cols>
  <sheetData>
    <row r="1" spans="1:6">
      <c r="A1" t="s">
        <v>0</v>
      </c>
      <c r="B1" t="s">
        <v>29</v>
      </c>
      <c r="C1" t="s">
        <v>3</v>
      </c>
      <c r="D1" t="s">
        <v>4</v>
      </c>
      <c r="E1" t="s">
        <v>6</v>
      </c>
      <c r="F1" t="s">
        <v>7</v>
      </c>
    </row>
    <row r="2" spans="1:6">
      <c r="A2" s="1" t="s">
        <v>11</v>
      </c>
      <c r="B2" s="2" t="s">
        <v>30</v>
      </c>
      <c r="C2">
        <v>0.3855804699585712</v>
      </c>
      <c r="D2">
        <v>0.63482134740053731</v>
      </c>
      <c r="E2">
        <v>346.78383493423462</v>
      </c>
      <c r="F2">
        <v>0.20875248312950134</v>
      </c>
    </row>
    <row r="3" spans="1:6">
      <c r="A3" s="1" t="s">
        <v>11</v>
      </c>
      <c r="B3" s="2" t="s">
        <v>31</v>
      </c>
      <c r="C3">
        <f>SUBTOTAL(101,d24_[mae])</f>
        <v>0.33636702376082572</v>
      </c>
      <c r="D3">
        <f>SUBTOTAL(101,d24_[rmse])</f>
        <v>0.55731923977251507</v>
      </c>
      <c r="E3">
        <f>SUBTOTAL(101,d24_[fit_time])</f>
        <v>468.26462480425835</v>
      </c>
      <c r="F3">
        <f>SUBTOTAL(101,d24_[inference_time])</f>
        <v>0.31193706393241882</v>
      </c>
    </row>
    <row r="4" spans="1:6">
      <c r="A4" s="1" t="s">
        <v>11</v>
      </c>
      <c r="B4" s="2" t="s">
        <v>32</v>
      </c>
      <c r="C4">
        <f>SUBTOTAL(101,d36_[mae])</f>
        <v>0.39759734107208855</v>
      </c>
      <c r="D4">
        <f>SUBTOTAL(101,d36_[rmse])</f>
        <v>0.63206484303297605</v>
      </c>
      <c r="E4">
        <f>SUBTOTAL(101,d36_[fit_time])</f>
        <v>473.20100060105324</v>
      </c>
      <c r="F4">
        <f>SUBTOTAL(101,d36_[inference_time])</f>
        <v>0.40177586674690247</v>
      </c>
    </row>
    <row r="5" spans="1:6">
      <c r="A5" s="1" t="s">
        <v>11</v>
      </c>
      <c r="B5" s="2" t="s">
        <v>33</v>
      </c>
      <c r="C5">
        <f>SUBTOTAL(101,d48_[mae])</f>
        <v>0.47937340953368734</v>
      </c>
      <c r="D5">
        <f>SUBTOTAL(101,d48_[rmse])</f>
        <v>0.71871587208369825</v>
      </c>
      <c r="E5">
        <f>SUBTOTAL(101,d48_[fit_time])</f>
        <v>442.81113627552986</v>
      </c>
      <c r="F5">
        <f>SUBTOTAL(101,d48_[inference_time])</f>
        <v>0.53426593542098999</v>
      </c>
    </row>
    <row r="6" spans="1:6">
      <c r="A6" s="1" t="s">
        <v>11</v>
      </c>
      <c r="B6" s="2" t="s">
        <v>34</v>
      </c>
      <c r="C6" s="2">
        <f>SUBTOTAL(101,C2:C5)</f>
        <v>0.3855804699585712</v>
      </c>
      <c r="D6" s="2">
        <f t="shared" ref="D6:F6" si="0">SUBTOTAL(101,D2:D5)</f>
        <v>0.63482134740053731</v>
      </c>
      <c r="E6" s="2">
        <f t="shared" si="0"/>
        <v>346.78383493423462</v>
      </c>
      <c r="F6" s="2">
        <f t="shared" si="0"/>
        <v>0.20875248312950134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69F28D-16DB-44B7-A012-12C76BC139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d12</vt:lpstr>
      <vt:lpstr>d24</vt:lpstr>
      <vt:lpstr>d36</vt:lpstr>
      <vt:lpstr>d48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chen</dc:creator>
  <cp:lastModifiedBy>steven chen</cp:lastModifiedBy>
  <dcterms:created xsi:type="dcterms:W3CDTF">2015-06-05T18:17:20Z</dcterms:created>
  <dcterms:modified xsi:type="dcterms:W3CDTF">2026-07-14T06:10:11Z</dcterms:modified>
</cp:coreProperties>
</file>