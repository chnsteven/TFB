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\Desktop\GitHub\TFB\results\Prophet\"/>
    </mc:Choice>
  </mc:AlternateContent>
  <xr:revisionPtr revIDLastSave="0" documentId="13_ncr:1_{E8D5E538-7861-47B2-968F-8A20F01CC6B4}" xr6:coauthVersionLast="47" xr6:coauthVersionMax="47" xr10:uidLastSave="{00000000-0000-0000-0000-000000000000}"/>
  <bookViews>
    <workbookView xWindow="13460" yWindow="3160" windowWidth="21790" windowHeight="15370" activeTab="4" xr2:uid="{27C24C64-B0F5-4E0F-8109-EA635D9F0E7E}"/>
  </bookViews>
  <sheets>
    <sheet name="d12" sheetId="2" r:id="rId1"/>
    <sheet name="d24" sheetId="3" r:id="rId2"/>
    <sheet name="d36" sheetId="4" r:id="rId3"/>
    <sheet name="d48" sheetId="5" r:id="rId4"/>
    <sheet name="prophet_result" sheetId="1" r:id="rId5"/>
  </sheets>
  <definedNames>
    <definedName name="ExternalData_1" localSheetId="0" hidden="1">'d12'!$A$1:$K$9</definedName>
    <definedName name="ExternalData_2" localSheetId="1" hidden="1">'d24'!$A$1:$K$9</definedName>
    <definedName name="ExternalData_3" localSheetId="2" hidden="1">'d36'!$A$1:$K$9</definedName>
    <definedName name="ExternalData_4" localSheetId="3" hidden="1">'d48'!$A$1:$K$9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5" l="1"/>
  <c r="G10" i="5"/>
  <c r="H10" i="5"/>
  <c r="D10" i="5"/>
  <c r="E10" i="4"/>
  <c r="G10" i="4"/>
  <c r="H10" i="4"/>
  <c r="D10" i="4"/>
  <c r="E10" i="3"/>
  <c r="G10" i="3"/>
  <c r="H10" i="3"/>
  <c r="D10" i="3"/>
  <c r="F2" i="1"/>
  <c r="F6" i="1" s="1"/>
  <c r="E2" i="1"/>
  <c r="E6" i="1" s="1"/>
  <c r="D2" i="1"/>
  <c r="D6" i="1" s="1"/>
  <c r="C2" i="1"/>
  <c r="C6" i="1" s="1"/>
  <c r="E10" i="2"/>
  <c r="G10" i="2"/>
  <c r="H10" i="2"/>
  <c r="D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C7F28-5C44-4DDA-97AA-47CE8190DC95}" keepAlive="1" name="Query - d12" description="Connection to the 'd12' query in the workbook." type="5" refreshedVersion="8" background="1" saveData="1">
    <dbPr connection="Provider=Microsoft.Mashup.OleDb.1;Data Source=$Workbook$;Location=d12;Extended Properties=&quot;&quot;" command="SELECT * FROM [d12]"/>
  </connection>
  <connection id="2" xr16:uid="{D143C6D1-65F5-4F00-B843-35B20A5BA955}" keepAlive="1" name="Query - d24" description="Connection to the 'd24' query in the workbook." type="5" refreshedVersion="8" background="1" saveData="1">
    <dbPr connection="Provider=Microsoft.Mashup.OleDb.1;Data Source=$Workbook$;Location=d24;Extended Properties=&quot;&quot;" command="SELECT * FROM [d24]"/>
  </connection>
  <connection id="3" xr16:uid="{96C16740-F2DB-47B7-B03C-FADA9857BD27}" keepAlive="1" name="Query - d36" description="Connection to the 'd36' query in the workbook." type="5" refreshedVersion="8" background="1" saveData="1">
    <dbPr connection="Provider=Microsoft.Mashup.OleDb.1;Data Source=$Workbook$;Location=d36;Extended Properties=&quot;&quot;" command="SELECT * FROM [d36]"/>
  </connection>
  <connection id="4" xr16:uid="{B121A326-C173-4BB0-AC76-8B0C8B99292A}" keepAlive="1" name="Query - d48" description="Connection to the 'd48' query in the workbook." type="5" refreshedVersion="8" background="1" saveData="1">
    <dbPr connection="Provider=Microsoft.Mashup.OleDb.1;Data Source=$Workbook$;Location=d48;Extended Properties=&quot;&quot;" command="SELECT * FROM [d48]"/>
  </connection>
  <connection id="5" xr16:uid="{10C107FA-5DFB-4FA5-A159-DF3F32FEA05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83DAA495-1671-4646-A389-9AF5408B0687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B3C6DABC-1D11-4F5A-B488-CC822CAB21E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B3A130E0-A20D-4587-B7AD-0F44200B541A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9" xr16:uid="{87FCD3FB-CB49-4BEB-95E9-37D75C490CE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43FBFE59-88AE-4F83-808C-E1BC0CF2D9F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F89B9B0C-14FF-4C17-901F-A1897DB74CC2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2" xr16:uid="{6DBA71B5-FCA2-4105-8ED3-5CB3D19CA10C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3" xr16:uid="{9E9EEF8A-677B-41A4-AE03-C07675307CF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801D32E3-A5AF-44B1-A980-CE947326F4C4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C17B0A70-C016-4478-8377-5D49C0753E14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6" xr16:uid="{8A212C85-CDE2-484F-8870-275402C3376D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17" xr16:uid="{3306F918-01C0-4B7E-9EE3-D10729699B0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8" xr16:uid="{48103304-53C1-4D07-AFD8-179D859374EB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9" xr16:uid="{2A0CDEB6-3B69-498F-ADCC-2CAA62D361B5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0" xr16:uid="{77852A70-E823-4229-92F0-0B6C599F694E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</connections>
</file>

<file path=xl/sharedStrings.xml><?xml version="1.0" encoding="utf-8"?>
<sst xmlns="http://schemas.openxmlformats.org/spreadsheetml/2006/main" count="284" uniqueCount="34">
  <si>
    <t>model_name</t>
  </si>
  <si>
    <t>horizon</t>
  </si>
  <si>
    <t>mae</t>
  </si>
  <si>
    <t>rmse</t>
  </si>
  <si>
    <t>Prophet</t>
  </si>
  <si>
    <t>d12</t>
  </si>
  <si>
    <t>d24</t>
  </si>
  <si>
    <t>d36</t>
  </si>
  <si>
    <t>d48</t>
  </si>
  <si>
    <t>ALL</t>
  </si>
  <si>
    <t>strategy_args</t>
  </si>
  <si>
    <t>model_params</t>
  </si>
  <si>
    <t>file_name</t>
  </si>
  <si>
    <t>fit_time</t>
  </si>
  <si>
    <t>inference_time</t>
  </si>
  <si>
    <t>actual_data</t>
  </si>
  <si>
    <t>inference_data</t>
  </si>
  <si>
    <t>log_info</t>
  </si>
  <si>
    <t>{"deterministic": "efficient", "horizon": 288, "save_true_pred": false, "seed": 2026, "strategy_name": "fixed_forecast", "target_channel": null, "train_ratio_in_tv": 0.8}</t>
  </si>
  <si>
    <t>{}</t>
  </si>
  <si>
    <t>event_0.csv</t>
  </si>
  <si>
    <t/>
  </si>
  <si>
    <t>event_1.csv</t>
  </si>
  <si>
    <t>event_2.csv</t>
  </si>
  <si>
    <t>event_3.csv</t>
  </si>
  <si>
    <t>event_4.csv</t>
  </si>
  <si>
    <t>event_5.csv</t>
  </si>
  <si>
    <t>event_6.csv</t>
  </si>
  <si>
    <t>event_7.csv</t>
  </si>
  <si>
    <t>{"deterministic": "efficient", "horizon": 576, "save_true_pred": false, "seed": 2026, "strategy_name": "fixed_forecast", "target_channel": null, "train_ratio_in_tv": 0.8}</t>
  </si>
  <si>
    <t>{"deterministic": "efficient", "horizon": 864, "save_true_pred": false, "seed": 2026, "strategy_name": "fixed_forecast", "target_channel": null, "train_ratio_in_tv": 0.8}</t>
  </si>
  <si>
    <t>{"deterministic": "efficient", "horizon": 1152, "save_true_pred": false, "seed": 2026, "strategy_name": "fixed_forecast", "target_channel": null, "train_ratio_in_tv": 0.8}</t>
  </si>
  <si>
    <t>fit_time</t>
    <phoneticPr fontId="18" type="noConversion"/>
  </si>
  <si>
    <t>inference_time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</si>
</sst>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9" fillId="0" borderId="10" xfId="0" applyFont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84FD03-D386-4AD2-A16A-6612EFECDE91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7EAE56-FC96-432A-B93C-F599402F5BB1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7E83DC1-0D06-4728-868C-3034B84A662A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278515E-FCA1-4E8B-9680-3AADB5B91338}" autoFormatId="16" applyNumberFormats="0" applyBorderFormats="0" applyFontFormats="0" applyPatternFormats="0" applyAlignmentFormats="0" applyWidthHeightFormats="0">
  <queryTableRefresh nextId="13">
    <queryTableFields count="11">
      <queryTableField id="2" name="model_name" tableColumnId="2"/>
      <queryTableField id="3" name="strategy_args" tableColumnId="3"/>
      <queryTableField id="4" name="model_params" tableColumnId="4"/>
      <queryTableField id="5" name="mae" tableColumnId="5"/>
      <queryTableField id="6" name="rmse" tableColumnId="6"/>
      <queryTableField id="7" name="file_name" tableColumnId="7"/>
      <queryTableField id="8" name="fit_time" tableColumnId="8"/>
      <queryTableField id="9" name="inference_time" tableColumnId="9"/>
      <queryTableField id="10" name="actual_data" tableColumnId="10"/>
      <queryTableField id="11" name="inference_data" tableColumnId="11"/>
      <queryTableField id="12" name="log_info" tableColumnId="12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A677C-9208-4A45-A902-2C4728C76913}" name="d12_" displayName="d12_" ref="A1:K10" tableType="queryTable" totalsRowCount="1">
  <autoFilter ref="A1:K9" xr:uid="{217A677C-9208-4A45-A902-2C4728C76913}"/>
  <tableColumns count="11">
    <tableColumn id="2" xr3:uid="{871BCBBF-05FC-46D4-8E93-6E3DD99EB4CC}" uniqueName="2" name="model_name" queryTableFieldId="2" dataDxfId="27" totalsRowDxfId="26"/>
    <tableColumn id="3" xr3:uid="{73DE90B1-789C-44D6-A4FD-B0CDBBA7D735}" uniqueName="3" name="strategy_args" queryTableFieldId="3" dataDxfId="25" totalsRowDxfId="24"/>
    <tableColumn id="4" xr3:uid="{BB7D401F-46FF-4CE5-B4AC-66FFA57DF05F}" uniqueName="4" name="model_params" queryTableFieldId="4" dataDxfId="23" totalsRowDxfId="22"/>
    <tableColumn id="5" xr3:uid="{08C8A8B9-2649-454F-9F00-569158322F24}" uniqueName="5" name="mae" totalsRowFunction="average" queryTableFieldId="5"/>
    <tableColumn id="6" xr3:uid="{6DA54C8F-95DF-4188-96FE-28D16FC2A97D}" uniqueName="6" name="rmse" totalsRowFunction="average" queryTableFieldId="6"/>
    <tableColumn id="7" xr3:uid="{ED5AD049-C186-4F82-8AA0-4C45718AF696}" uniqueName="7" name="file_name" queryTableFieldId="7" dataDxfId="21"/>
    <tableColumn id="8" xr3:uid="{225BC4E0-3A5E-436C-B612-47ECD46B320C}" uniqueName="8" name="fit_time" totalsRowFunction="average" queryTableFieldId="8"/>
    <tableColumn id="9" xr3:uid="{2FDDDB74-F4B5-49D5-AADE-5C921E1ED7D4}" uniqueName="9" name="inference_time" totalsRowFunction="average" queryTableFieldId="9"/>
    <tableColumn id="10" xr3:uid="{5C70E9C2-742E-4263-8946-DE7EEECBD949}" uniqueName="10" name="actual_data" queryTableFieldId="10"/>
    <tableColumn id="11" xr3:uid="{4C39EEE5-376E-4702-96D0-5CABE63C5B40}" uniqueName="11" name="inference_data" queryTableFieldId="11"/>
    <tableColumn id="12" xr3:uid="{428ABA95-A873-445F-AF70-AD28B56DD85F}" uniqueName="12" name="log_info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C8D653-9336-419A-8410-DFA26ADAD569}" name="d24_" displayName="d24_" ref="A1:K10" tableType="queryTable" totalsRowCount="1">
  <autoFilter ref="A1:K9" xr:uid="{8FC8D653-9336-419A-8410-DFA26ADAD569}"/>
  <tableColumns count="11">
    <tableColumn id="2" xr3:uid="{97ED675D-A11E-4886-8BF9-03015D2CFD9D}" uniqueName="2" name="model_name" queryTableFieldId="2" dataDxfId="20" totalsRowDxfId="19"/>
    <tableColumn id="3" xr3:uid="{66709C0D-E2B2-46DB-B724-109A69B01168}" uniqueName="3" name="strategy_args" queryTableFieldId="3" dataDxfId="18" totalsRowDxfId="17"/>
    <tableColumn id="4" xr3:uid="{F0426E07-2496-4653-B813-68B73BA9BDC8}" uniqueName="4" name="model_params" queryTableFieldId="4" dataDxfId="16" totalsRowDxfId="15"/>
    <tableColumn id="5" xr3:uid="{F1D3D097-32D2-4ABD-8A6D-3DAEE334C011}" uniqueName="5" name="mae" totalsRowFunction="average" queryTableFieldId="5"/>
    <tableColumn id="6" xr3:uid="{46C9F4FF-8AA1-418A-9386-C778DD9C9EEF}" uniqueName="6" name="rmse" totalsRowFunction="average" queryTableFieldId="6"/>
    <tableColumn id="7" xr3:uid="{5575E7C5-3D1A-4D20-849B-F5DAC08022E9}" uniqueName="7" name="file_name" queryTableFieldId="7" dataDxfId="14"/>
    <tableColumn id="8" xr3:uid="{22658A3B-5673-45A2-96E2-062C9A9BFC41}" uniqueName="8" name="fit_time" totalsRowFunction="average" queryTableFieldId="8"/>
    <tableColumn id="9" xr3:uid="{6715C834-A5CD-4CD9-B1E7-C95E8505AF3D}" uniqueName="9" name="inference_time" totalsRowFunction="average" queryTableFieldId="9"/>
    <tableColumn id="10" xr3:uid="{A1B520C2-F13D-4BC7-9C43-11CA638974A7}" uniqueName="10" name="actual_data" queryTableFieldId="10"/>
    <tableColumn id="11" xr3:uid="{70C58F4D-909F-4F66-9A44-87DF78598C87}" uniqueName="11" name="inference_data" queryTableFieldId="11"/>
    <tableColumn id="12" xr3:uid="{E4A2DED1-A74E-45BF-B039-3F8AFBDEF924}" uniqueName="12" name="log_info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18C8F1-59C8-4961-8366-05C579D76419}" name="d36_" displayName="d36_" ref="A1:K10" tableType="queryTable" totalsRowCount="1">
  <autoFilter ref="A1:K9" xr:uid="{CB18C8F1-59C8-4961-8366-05C579D76419}"/>
  <tableColumns count="11">
    <tableColumn id="2" xr3:uid="{48CFC988-6841-40BE-8DB4-2A39B39A4A2C}" uniqueName="2" name="model_name" queryTableFieldId="2" dataDxfId="13" totalsRowDxfId="12"/>
    <tableColumn id="3" xr3:uid="{CEE2D374-B1C9-4A15-8A48-55CB491B3C87}" uniqueName="3" name="strategy_args" queryTableFieldId="3" dataDxfId="11" totalsRowDxfId="10"/>
    <tableColumn id="4" xr3:uid="{A4752277-34B9-424F-890A-421324C5D77B}" uniqueName="4" name="model_params" queryTableFieldId="4" dataDxfId="9" totalsRowDxfId="8"/>
    <tableColumn id="5" xr3:uid="{D6FC3EE2-37F5-4107-9B8A-FC6613932FD6}" uniqueName="5" name="mae" totalsRowFunction="average" queryTableFieldId="5"/>
    <tableColumn id="6" xr3:uid="{2E9526F8-2041-413C-A2E4-D415156A2CCA}" uniqueName="6" name="rmse" totalsRowFunction="average" queryTableFieldId="6"/>
    <tableColumn id="7" xr3:uid="{C4AB8D78-3302-4C43-B5F0-116A28AE7AE0}" uniqueName="7" name="file_name" queryTableFieldId="7" dataDxfId="7"/>
    <tableColumn id="8" xr3:uid="{DB145ACC-AB30-41B8-A28B-F55D29CDE2F9}" uniqueName="8" name="fit_time" totalsRowFunction="average" queryTableFieldId="8"/>
    <tableColumn id="9" xr3:uid="{21A5B698-0EF5-4FEB-B067-4C69B922F28A}" uniqueName="9" name="inference_time" totalsRowFunction="average" queryTableFieldId="9"/>
    <tableColumn id="10" xr3:uid="{2DC41F89-0316-4DC4-8E18-5CCA4C67DB88}" uniqueName="10" name="actual_data" queryTableFieldId="10"/>
    <tableColumn id="11" xr3:uid="{4CB87E12-33A1-480E-8E2C-B2C887C82B66}" uniqueName="11" name="inference_data" queryTableFieldId="11"/>
    <tableColumn id="12" xr3:uid="{DAEB65B4-B1B8-4557-8FD9-82F618AE4D24}" uniqueName="12" name="log_info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23569-BE35-45EA-86FD-D70E15E2D403}" name="d48_" displayName="d48_" ref="A1:K10" tableType="queryTable" totalsRowCount="1">
  <autoFilter ref="A1:K9" xr:uid="{65A23569-BE35-45EA-86FD-D70E15E2D403}"/>
  <tableColumns count="11">
    <tableColumn id="2" xr3:uid="{B1C58F80-63BE-4F2C-8423-7CBAAAA4B3CC}" uniqueName="2" name="model_name" queryTableFieldId="2" dataDxfId="6" totalsRowDxfId="5"/>
    <tableColumn id="3" xr3:uid="{DBBA5C74-1B1A-41D3-9CB1-423BEF90AE1E}" uniqueName="3" name="strategy_args" queryTableFieldId="3" dataDxfId="4" totalsRowDxfId="3"/>
    <tableColumn id="4" xr3:uid="{FF7BCD7C-116B-4797-9F66-D4F558999D3E}" uniqueName="4" name="model_params" queryTableFieldId="4" dataDxfId="2" totalsRowDxfId="1"/>
    <tableColumn id="5" xr3:uid="{0900648C-7610-4697-8EE7-E133B27C390B}" uniqueName="5" name="mae" totalsRowFunction="average" queryTableFieldId="5"/>
    <tableColumn id="6" xr3:uid="{44345293-4920-4978-A5F1-4FFD35ECFFAD}" uniqueName="6" name="rmse" totalsRowFunction="average" queryTableFieldId="6"/>
    <tableColumn id="7" xr3:uid="{C3EC1127-C767-4CFC-B893-A44E5135A7CF}" uniqueName="7" name="file_name" queryTableFieldId="7" dataDxfId="0"/>
    <tableColumn id="8" xr3:uid="{CE68D6D2-76C1-4F54-8B85-07431FF246DD}" uniqueName="8" name="fit_time" totalsRowFunction="average" queryTableFieldId="8"/>
    <tableColumn id="9" xr3:uid="{E601AAD8-29C6-4FE8-8BEF-2487D7FF0974}" uniqueName="9" name="inference_time" totalsRowFunction="average" queryTableFieldId="9"/>
    <tableColumn id="10" xr3:uid="{7605BE85-6CCA-4358-8699-6150585E8DCF}" uniqueName="10" name="actual_data" queryTableFieldId="10"/>
    <tableColumn id="11" xr3:uid="{03A94928-ADFB-44EE-BF7F-21DFE5A181B8}" uniqueName="11" name="inference_data" queryTableFieldId="11"/>
    <tableColumn id="12" xr3:uid="{031276C8-D6F5-4525-B16C-BE2CBD1A7E53}" uniqueName="12" name="log_inf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E2FE-29DD-4580-B6A6-996C6FA8EA08}">
  <dimension ref="A1:K10"/>
  <sheetViews>
    <sheetView workbookViewId="0">
      <selection activeCell="D10" sqref="D10:H10"/>
    </sheetView>
  </sheetViews>
  <sheetFormatPr defaultRowHeight="14"/>
  <cols>
    <col min="1" max="1" width="14" bestFit="1" customWidth="1"/>
    <col min="2" max="2" width="11.58203125" customWidth="1"/>
    <col min="3" max="3" width="15.4140625" bestFit="1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1" t="s">
        <v>4</v>
      </c>
      <c r="B2" s="1" t="s">
        <v>18</v>
      </c>
      <c r="C2" s="1" t="s">
        <v>19</v>
      </c>
      <c r="D2">
        <v>0.409217314</v>
      </c>
      <c r="E2">
        <v>0.67272087700000005</v>
      </c>
      <c r="F2" s="1" t="s">
        <v>20</v>
      </c>
      <c r="G2">
        <v>3406.37401</v>
      </c>
      <c r="H2">
        <v>153.66667989999999</v>
      </c>
      <c r="I2" t="s">
        <v>21</v>
      </c>
      <c r="J2" t="s">
        <v>21</v>
      </c>
      <c r="K2" t="s">
        <v>21</v>
      </c>
    </row>
    <row r="3" spans="1:11">
      <c r="A3" s="1" t="s">
        <v>4</v>
      </c>
      <c r="B3" s="1" t="s">
        <v>18</v>
      </c>
      <c r="C3" s="1" t="s">
        <v>19</v>
      </c>
      <c r="D3">
        <v>0.38349562500000001</v>
      </c>
      <c r="E3">
        <v>0.66295809400000005</v>
      </c>
      <c r="F3" s="1" t="s">
        <v>22</v>
      </c>
      <c r="G3">
        <v>3695.8492849999998</v>
      </c>
      <c r="H3">
        <v>73.957087990000005</v>
      </c>
      <c r="I3" t="s">
        <v>21</v>
      </c>
      <c r="J3" t="s">
        <v>21</v>
      </c>
      <c r="K3" t="s">
        <v>21</v>
      </c>
    </row>
    <row r="4" spans="1:11">
      <c r="A4" s="1" t="s">
        <v>4</v>
      </c>
      <c r="B4" s="1" t="s">
        <v>18</v>
      </c>
      <c r="C4" s="1" t="s">
        <v>19</v>
      </c>
      <c r="D4">
        <v>0.38572926899999999</v>
      </c>
      <c r="E4">
        <v>0.66363096300000002</v>
      </c>
      <c r="F4" s="1" t="s">
        <v>23</v>
      </c>
      <c r="G4">
        <v>4074.912566</v>
      </c>
      <c r="H4">
        <v>74.630755660000005</v>
      </c>
      <c r="I4" t="s">
        <v>21</v>
      </c>
      <c r="J4" t="s">
        <v>21</v>
      </c>
      <c r="K4" t="s">
        <v>21</v>
      </c>
    </row>
    <row r="5" spans="1:11">
      <c r="A5" s="1" t="s">
        <v>4</v>
      </c>
      <c r="B5" s="1" t="s">
        <v>18</v>
      </c>
      <c r="C5" s="1" t="s">
        <v>19</v>
      </c>
      <c r="D5">
        <v>0.37898113100000003</v>
      </c>
      <c r="E5">
        <v>0.66243546600000003</v>
      </c>
      <c r="F5" s="1" t="s">
        <v>24</v>
      </c>
      <c r="G5">
        <v>3421.2462230000001</v>
      </c>
      <c r="H5">
        <v>168.26903369999999</v>
      </c>
      <c r="I5" t="s">
        <v>21</v>
      </c>
      <c r="J5" t="s">
        <v>21</v>
      </c>
      <c r="K5" t="s">
        <v>21</v>
      </c>
    </row>
    <row r="6" spans="1:11">
      <c r="A6" s="1" t="s">
        <v>4</v>
      </c>
      <c r="B6" s="1" t="s">
        <v>18</v>
      </c>
      <c r="C6" s="1" t="s">
        <v>19</v>
      </c>
      <c r="D6">
        <v>0.37316520399999997</v>
      </c>
      <c r="E6">
        <v>0.66209102099999995</v>
      </c>
      <c r="F6" s="1" t="s">
        <v>25</v>
      </c>
      <c r="G6">
        <v>3313.442994</v>
      </c>
      <c r="H6">
        <v>80.195234060000004</v>
      </c>
      <c r="I6" t="s">
        <v>21</v>
      </c>
      <c r="J6" t="s">
        <v>21</v>
      </c>
      <c r="K6" t="s">
        <v>21</v>
      </c>
    </row>
    <row r="7" spans="1:11">
      <c r="A7" s="1" t="s">
        <v>4</v>
      </c>
      <c r="B7" s="1" t="s">
        <v>18</v>
      </c>
      <c r="C7" s="1" t="s">
        <v>19</v>
      </c>
      <c r="D7">
        <v>0.37601753799999998</v>
      </c>
      <c r="E7">
        <v>0.66226097699999997</v>
      </c>
      <c r="F7" s="1" t="s">
        <v>26</v>
      </c>
      <c r="G7">
        <v>3807.0346249999998</v>
      </c>
      <c r="H7">
        <v>76.995485779999996</v>
      </c>
      <c r="I7" t="s">
        <v>21</v>
      </c>
      <c r="J7" t="s">
        <v>21</v>
      </c>
      <c r="K7" t="s">
        <v>21</v>
      </c>
    </row>
    <row r="8" spans="1:11">
      <c r="A8" s="1" t="s">
        <v>4</v>
      </c>
      <c r="B8" s="1" t="s">
        <v>18</v>
      </c>
      <c r="C8" s="1" t="s">
        <v>19</v>
      </c>
      <c r="D8">
        <v>0.373897233</v>
      </c>
      <c r="E8">
        <v>0.66213394199999998</v>
      </c>
      <c r="F8" s="1" t="s">
        <v>27</v>
      </c>
      <c r="G8">
        <v>3460.5229730000001</v>
      </c>
      <c r="H8">
        <v>149.41217040000001</v>
      </c>
      <c r="I8" t="s">
        <v>21</v>
      </c>
      <c r="J8" t="s">
        <v>21</v>
      </c>
      <c r="K8" t="s">
        <v>21</v>
      </c>
    </row>
    <row r="9" spans="1:11">
      <c r="A9" s="1" t="s">
        <v>4</v>
      </c>
      <c r="B9" s="1" t="s">
        <v>18</v>
      </c>
      <c r="C9" s="1" t="s">
        <v>19</v>
      </c>
      <c r="D9">
        <v>0.37307917600000001</v>
      </c>
      <c r="E9">
        <v>0.66208954900000005</v>
      </c>
      <c r="F9" s="1" t="s">
        <v>28</v>
      </c>
      <c r="G9">
        <v>3047.4941229999999</v>
      </c>
      <c r="H9">
        <v>81.245081420000005</v>
      </c>
      <c r="I9" t="s">
        <v>21</v>
      </c>
      <c r="J9" t="s">
        <v>21</v>
      </c>
      <c r="K9" t="s">
        <v>21</v>
      </c>
    </row>
    <row r="10" spans="1:11">
      <c r="A10" s="1"/>
      <c r="B10" s="1"/>
      <c r="C10" s="1"/>
      <c r="D10">
        <f>SUBTOTAL(101,d12_[mae])</f>
        <v>0.38169781125000002</v>
      </c>
      <c r="E10">
        <f>SUBTOTAL(101,d12_[rmse])</f>
        <v>0.66379011112499997</v>
      </c>
      <c r="G10">
        <f>SUBTOTAL(101,d12_[fit_time])</f>
        <v>3528.3595998749997</v>
      </c>
      <c r="H10">
        <f>SUBTOTAL(101,d12_[inference_time])</f>
        <v>107.29644111375001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AA33-91B6-462B-9424-AA0C4CA8FF79}">
  <dimension ref="A1:K10"/>
  <sheetViews>
    <sheetView workbookViewId="0">
      <selection activeCell="H10" activeCellId="2" sqref="D10:E10 G10 H10"/>
    </sheetView>
  </sheetViews>
  <sheetFormatPr defaultRowHeight="14"/>
  <cols>
    <col min="1" max="1" width="14" bestFit="1" customWidth="1"/>
    <col min="2" max="2" width="12.33203125" customWidth="1"/>
    <col min="3" max="3" width="15.4140625" bestFit="1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1" t="s">
        <v>4</v>
      </c>
      <c r="B2" s="1" t="s">
        <v>29</v>
      </c>
      <c r="C2" s="1" t="s">
        <v>19</v>
      </c>
      <c r="D2">
        <v>0.383091179</v>
      </c>
      <c r="E2">
        <v>0.61492851800000004</v>
      </c>
      <c r="F2" s="1" t="s">
        <v>20</v>
      </c>
      <c r="G2">
        <v>2871.2425280000002</v>
      </c>
      <c r="H2">
        <v>45.341380829999999</v>
      </c>
      <c r="I2" t="s">
        <v>21</v>
      </c>
      <c r="J2" t="s">
        <v>21</v>
      </c>
      <c r="K2" t="s">
        <v>21</v>
      </c>
    </row>
    <row r="3" spans="1:11">
      <c r="A3" s="1" t="s">
        <v>4</v>
      </c>
      <c r="B3" s="1" t="s">
        <v>29</v>
      </c>
      <c r="C3" s="1" t="s">
        <v>19</v>
      </c>
      <c r="D3">
        <v>0.36427739799999997</v>
      </c>
      <c r="E3">
        <v>0.60684453800000004</v>
      </c>
      <c r="F3" s="1" t="s">
        <v>22</v>
      </c>
      <c r="G3">
        <v>3010.8241539999999</v>
      </c>
      <c r="H3">
        <v>52.912734270000001</v>
      </c>
      <c r="I3" t="s">
        <v>21</v>
      </c>
      <c r="J3" t="s">
        <v>21</v>
      </c>
      <c r="K3" t="s">
        <v>21</v>
      </c>
    </row>
    <row r="4" spans="1:11">
      <c r="A4" s="1" t="s">
        <v>4</v>
      </c>
      <c r="B4" s="1" t="s">
        <v>29</v>
      </c>
      <c r="C4" s="1" t="s">
        <v>19</v>
      </c>
      <c r="D4">
        <v>0.37012384700000001</v>
      </c>
      <c r="E4">
        <v>0.609172194</v>
      </c>
      <c r="F4" s="1" t="s">
        <v>23</v>
      </c>
      <c r="G4">
        <v>3214.255251</v>
      </c>
      <c r="H4">
        <v>36.020584820000003</v>
      </c>
      <c r="I4" t="s">
        <v>21</v>
      </c>
      <c r="J4" t="s">
        <v>21</v>
      </c>
      <c r="K4" t="s">
        <v>21</v>
      </c>
    </row>
    <row r="5" spans="1:11">
      <c r="A5" s="1" t="s">
        <v>4</v>
      </c>
      <c r="B5" s="1" t="s">
        <v>29</v>
      </c>
      <c r="C5" s="1" t="s">
        <v>19</v>
      </c>
      <c r="D5">
        <v>0.35340145899999997</v>
      </c>
      <c r="E5">
        <v>0.60548490700000002</v>
      </c>
      <c r="F5" s="1" t="s">
        <v>24</v>
      </c>
      <c r="G5">
        <v>2808.698719</v>
      </c>
      <c r="H5">
        <v>44.896681309999998</v>
      </c>
      <c r="I5" t="s">
        <v>21</v>
      </c>
      <c r="J5" t="s">
        <v>21</v>
      </c>
      <c r="K5" t="s">
        <v>21</v>
      </c>
    </row>
    <row r="6" spans="1:11">
      <c r="A6" s="1" t="s">
        <v>4</v>
      </c>
      <c r="B6" s="1" t="s">
        <v>29</v>
      </c>
      <c r="C6" s="1" t="s">
        <v>19</v>
      </c>
      <c r="D6">
        <v>0.35049356700000001</v>
      </c>
      <c r="E6">
        <v>0.60530227299999995</v>
      </c>
      <c r="F6" s="1" t="s">
        <v>25</v>
      </c>
      <c r="G6">
        <v>2922.570228</v>
      </c>
      <c r="H6">
        <v>48.003036739999999</v>
      </c>
      <c r="I6" t="s">
        <v>21</v>
      </c>
      <c r="J6" t="s">
        <v>21</v>
      </c>
      <c r="K6" t="s">
        <v>21</v>
      </c>
    </row>
    <row r="7" spans="1:11">
      <c r="A7" s="1" t="s">
        <v>4</v>
      </c>
      <c r="B7" s="1" t="s">
        <v>29</v>
      </c>
      <c r="C7" s="1" t="s">
        <v>19</v>
      </c>
      <c r="D7">
        <v>0.35126509900000003</v>
      </c>
      <c r="E7">
        <v>0.60533826199999996</v>
      </c>
      <c r="F7" s="1" t="s">
        <v>26</v>
      </c>
      <c r="G7">
        <v>2943.3642669999999</v>
      </c>
      <c r="H7">
        <v>47.8163147</v>
      </c>
      <c r="I7" t="s">
        <v>21</v>
      </c>
      <c r="J7" t="s">
        <v>21</v>
      </c>
      <c r="K7" t="s">
        <v>21</v>
      </c>
    </row>
    <row r="8" spans="1:11">
      <c r="A8" s="1" t="s">
        <v>4</v>
      </c>
      <c r="B8" s="1" t="s">
        <v>29</v>
      </c>
      <c r="C8" s="1" t="s">
        <v>19</v>
      </c>
      <c r="D8">
        <v>0.35078619900000002</v>
      </c>
      <c r="E8">
        <v>0.60532481999999999</v>
      </c>
      <c r="F8" s="1" t="s">
        <v>27</v>
      </c>
      <c r="G8">
        <v>3011.222025</v>
      </c>
      <c r="H8">
        <v>54.44392371</v>
      </c>
      <c r="I8" t="s">
        <v>21</v>
      </c>
      <c r="J8" t="s">
        <v>21</v>
      </c>
      <c r="K8" t="s">
        <v>21</v>
      </c>
    </row>
    <row r="9" spans="1:11">
      <c r="A9" s="1" t="s">
        <v>4</v>
      </c>
      <c r="B9" s="1" t="s">
        <v>29</v>
      </c>
      <c r="C9" s="1" t="s">
        <v>19</v>
      </c>
      <c r="D9">
        <v>0.35100546100000002</v>
      </c>
      <c r="E9">
        <v>0.60532865400000002</v>
      </c>
      <c r="F9" s="1" t="s">
        <v>28</v>
      </c>
      <c r="G9">
        <v>2682.194563</v>
      </c>
      <c r="H9">
        <v>46.152982229999999</v>
      </c>
      <c r="I9" t="s">
        <v>21</v>
      </c>
      <c r="J9" t="s">
        <v>21</v>
      </c>
      <c r="K9" t="s">
        <v>21</v>
      </c>
    </row>
    <row r="10" spans="1:11">
      <c r="A10" s="1"/>
      <c r="B10" s="1"/>
      <c r="C10" s="1"/>
      <c r="D10">
        <f>SUBTOTAL(101,d24_[mae])</f>
        <v>0.359305526125</v>
      </c>
      <c r="E10">
        <f>SUBTOTAL(101,d24_[rmse])</f>
        <v>0.60721552075000007</v>
      </c>
      <c r="G10">
        <f>SUBTOTAL(101,d24_[fit_time])</f>
        <v>2933.0464668750001</v>
      </c>
      <c r="H10">
        <f>SUBTOTAL(101,d24_[inference_time])</f>
        <v>46.94845482625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80E9-BF78-49E8-93B5-48F9B5307FE9}">
  <dimension ref="A1:K10"/>
  <sheetViews>
    <sheetView workbookViewId="0">
      <selection activeCell="C26" sqref="C26"/>
    </sheetView>
  </sheetViews>
  <sheetFormatPr defaultRowHeight="14"/>
  <cols>
    <col min="1" max="1" width="14" bestFit="1" customWidth="1"/>
    <col min="2" max="2" width="13.08203125" customWidth="1"/>
    <col min="3" max="3" width="15.4140625" bestFit="1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1" t="s">
        <v>4</v>
      </c>
      <c r="B2" s="1" t="s">
        <v>30</v>
      </c>
      <c r="C2" s="1" t="s">
        <v>19</v>
      </c>
      <c r="D2">
        <v>0.39604092099999999</v>
      </c>
      <c r="E2">
        <v>0.64161261000000003</v>
      </c>
      <c r="F2" s="1" t="s">
        <v>20</v>
      </c>
      <c r="G2">
        <v>2897.2923099999998</v>
      </c>
      <c r="H2">
        <v>79.689801930000002</v>
      </c>
      <c r="I2" t="s">
        <v>21</v>
      </c>
      <c r="J2" t="s">
        <v>21</v>
      </c>
      <c r="K2" t="s">
        <v>21</v>
      </c>
    </row>
    <row r="3" spans="1:11">
      <c r="A3" s="1" t="s">
        <v>4</v>
      </c>
      <c r="B3" s="1" t="s">
        <v>30</v>
      </c>
      <c r="C3" s="1" t="s">
        <v>19</v>
      </c>
      <c r="D3">
        <v>0.38070778799999999</v>
      </c>
      <c r="E3">
        <v>0.63563450600000004</v>
      </c>
      <c r="F3" s="1" t="s">
        <v>22</v>
      </c>
      <c r="G3">
        <v>2921.0925259999999</v>
      </c>
      <c r="H3">
        <v>72.363461970000003</v>
      </c>
      <c r="I3" t="s">
        <v>21</v>
      </c>
      <c r="J3" t="s">
        <v>21</v>
      </c>
      <c r="K3" t="s">
        <v>21</v>
      </c>
    </row>
    <row r="4" spans="1:11">
      <c r="A4" s="1" t="s">
        <v>4</v>
      </c>
      <c r="B4" s="1" t="s">
        <v>30</v>
      </c>
      <c r="C4" s="1" t="s">
        <v>19</v>
      </c>
      <c r="D4">
        <v>0.38200848399999998</v>
      </c>
      <c r="E4">
        <v>0.63665189200000005</v>
      </c>
      <c r="F4" s="1" t="s">
        <v>23</v>
      </c>
      <c r="G4">
        <v>3122.5551129999999</v>
      </c>
      <c r="H4">
        <v>50.604869600000001</v>
      </c>
      <c r="I4" t="s">
        <v>21</v>
      </c>
      <c r="J4" t="s">
        <v>21</v>
      </c>
      <c r="K4" t="s">
        <v>21</v>
      </c>
    </row>
    <row r="5" spans="1:11">
      <c r="A5" s="1" t="s">
        <v>4</v>
      </c>
      <c r="B5" s="1" t="s">
        <v>30</v>
      </c>
      <c r="C5" s="1" t="s">
        <v>19</v>
      </c>
      <c r="D5">
        <v>0.36658977500000001</v>
      </c>
      <c r="E5">
        <v>0.63379075699999998</v>
      </c>
      <c r="F5" s="1" t="s">
        <v>24</v>
      </c>
      <c r="G5">
        <v>2834.005443</v>
      </c>
      <c r="H5">
        <v>69.091550589999997</v>
      </c>
      <c r="I5" t="s">
        <v>21</v>
      </c>
      <c r="J5" t="s">
        <v>21</v>
      </c>
      <c r="K5" t="s">
        <v>21</v>
      </c>
    </row>
    <row r="6" spans="1:11">
      <c r="A6" s="1" t="s">
        <v>4</v>
      </c>
      <c r="B6" s="1" t="s">
        <v>30</v>
      </c>
      <c r="C6" s="1" t="s">
        <v>19</v>
      </c>
      <c r="D6">
        <v>0.36384745600000001</v>
      </c>
      <c r="E6">
        <v>0.63363424199999996</v>
      </c>
      <c r="F6" s="1" t="s">
        <v>25</v>
      </c>
      <c r="G6">
        <v>2808.4670460000002</v>
      </c>
      <c r="H6">
        <v>71.098390100000003</v>
      </c>
      <c r="I6" t="s">
        <v>21</v>
      </c>
      <c r="J6" t="s">
        <v>21</v>
      </c>
      <c r="K6" t="s">
        <v>21</v>
      </c>
    </row>
    <row r="7" spans="1:11">
      <c r="A7" s="1" t="s">
        <v>4</v>
      </c>
      <c r="B7" s="1" t="s">
        <v>30</v>
      </c>
      <c r="C7" s="1" t="s">
        <v>19</v>
      </c>
      <c r="D7">
        <v>0.36460520899999999</v>
      </c>
      <c r="E7">
        <v>0.63367019800000002</v>
      </c>
      <c r="F7" s="1" t="s">
        <v>26</v>
      </c>
      <c r="G7">
        <v>2920.952855</v>
      </c>
      <c r="H7">
        <v>82.509028670000006</v>
      </c>
      <c r="I7" t="s">
        <v>21</v>
      </c>
      <c r="J7" t="s">
        <v>21</v>
      </c>
      <c r="K7" t="s">
        <v>21</v>
      </c>
    </row>
    <row r="8" spans="1:11">
      <c r="A8" s="1" t="s">
        <v>4</v>
      </c>
      <c r="B8" s="1" t="s">
        <v>30</v>
      </c>
      <c r="C8" s="1" t="s">
        <v>19</v>
      </c>
      <c r="D8">
        <v>0.364495448</v>
      </c>
      <c r="E8">
        <v>0.633671137</v>
      </c>
      <c r="F8" s="1" t="s">
        <v>27</v>
      </c>
      <c r="G8">
        <v>3003.4056850000002</v>
      </c>
      <c r="H8">
        <v>46.999604939999998</v>
      </c>
      <c r="I8" t="s">
        <v>21</v>
      </c>
      <c r="J8" t="s">
        <v>21</v>
      </c>
      <c r="K8" t="s">
        <v>21</v>
      </c>
    </row>
    <row r="9" spans="1:11">
      <c r="A9" s="1" t="s">
        <v>4</v>
      </c>
      <c r="B9" s="1" t="s">
        <v>30</v>
      </c>
      <c r="C9" s="1" t="s">
        <v>19</v>
      </c>
      <c r="D9">
        <v>0.36498377199999998</v>
      </c>
      <c r="E9">
        <v>0.63369180300000005</v>
      </c>
      <c r="F9" s="1" t="s">
        <v>28</v>
      </c>
      <c r="G9">
        <v>2677.3797949999998</v>
      </c>
      <c r="H9">
        <v>55.549180980000003</v>
      </c>
      <c r="I9" t="s">
        <v>21</v>
      </c>
      <c r="J9" t="s">
        <v>21</v>
      </c>
      <c r="K9" t="s">
        <v>21</v>
      </c>
    </row>
    <row r="10" spans="1:11">
      <c r="A10" s="1"/>
      <c r="B10" s="1"/>
      <c r="C10" s="1"/>
      <c r="D10">
        <f>SUBTOTAL(101,d36_[mae])</f>
        <v>0.37290985662499998</v>
      </c>
      <c r="E10">
        <f>SUBTOTAL(101,d36_[rmse])</f>
        <v>0.63529464312499995</v>
      </c>
      <c r="G10">
        <f>SUBTOTAL(101,d36_[fit_time])</f>
        <v>2898.1438466250002</v>
      </c>
      <c r="H10">
        <f>SUBTOTAL(101,d36_[inference_time])</f>
        <v>65.988236097499993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4379-2AB5-4AD1-8322-496B8ADE922F}">
  <dimension ref="A1:K10"/>
  <sheetViews>
    <sheetView workbookViewId="0">
      <selection activeCell="C29" sqref="C29"/>
    </sheetView>
  </sheetViews>
  <sheetFormatPr defaultRowHeight="14"/>
  <cols>
    <col min="1" max="1" width="14" bestFit="1" customWidth="1"/>
    <col min="2" max="2" width="12.58203125" customWidth="1"/>
    <col min="3" max="3" width="15.4140625" bestFit="1" customWidth="1"/>
    <col min="4" max="5" width="12.33203125" bestFit="1" customWidth="1"/>
    <col min="6" max="6" width="11.25" bestFit="1" customWidth="1"/>
    <col min="7" max="7" width="12.33203125" bestFit="1" customWidth="1"/>
    <col min="8" max="8" width="15.83203125" bestFit="1" customWidth="1"/>
    <col min="9" max="9" width="12.58203125" bestFit="1" customWidth="1"/>
    <col min="10" max="10" width="15.6640625" bestFit="1" customWidth="1"/>
    <col min="11" max="11" width="10" bestFit="1" customWidth="1"/>
  </cols>
  <sheetData>
    <row r="1" spans="1:11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>
      <c r="A2" s="1" t="s">
        <v>4</v>
      </c>
      <c r="B2" s="1" t="s">
        <v>31</v>
      </c>
      <c r="C2" s="1" t="s">
        <v>19</v>
      </c>
      <c r="D2">
        <v>0.405218996</v>
      </c>
      <c r="E2">
        <v>0.65932911400000005</v>
      </c>
      <c r="F2" s="1" t="s">
        <v>20</v>
      </c>
      <c r="G2">
        <v>2942.7291639999999</v>
      </c>
      <c r="H2">
        <v>112.5295618</v>
      </c>
      <c r="I2" t="s">
        <v>21</v>
      </c>
      <c r="J2" t="s">
        <v>21</v>
      </c>
      <c r="K2" t="s">
        <v>21</v>
      </c>
    </row>
    <row r="3" spans="1:11">
      <c r="A3" s="1" t="s">
        <v>4</v>
      </c>
      <c r="B3" s="1" t="s">
        <v>31</v>
      </c>
      <c r="C3" s="1" t="s">
        <v>19</v>
      </c>
      <c r="D3">
        <v>0.392624796</v>
      </c>
      <c r="E3">
        <v>0.65309228600000002</v>
      </c>
      <c r="F3" s="1" t="s">
        <v>22</v>
      </c>
      <c r="G3">
        <v>3032.1574030000002</v>
      </c>
      <c r="H3">
        <v>77.115467550000005</v>
      </c>
      <c r="I3" t="s">
        <v>21</v>
      </c>
      <c r="J3" t="s">
        <v>21</v>
      </c>
      <c r="K3" t="s">
        <v>21</v>
      </c>
    </row>
    <row r="4" spans="1:11">
      <c r="A4" s="1" t="s">
        <v>4</v>
      </c>
      <c r="B4" s="1" t="s">
        <v>31</v>
      </c>
      <c r="C4" s="1" t="s">
        <v>19</v>
      </c>
      <c r="D4">
        <v>0.39051487899999998</v>
      </c>
      <c r="E4">
        <v>0.65338889300000003</v>
      </c>
      <c r="F4" s="1" t="s">
        <v>23</v>
      </c>
      <c r="G4">
        <v>3216.6814939999999</v>
      </c>
      <c r="H4">
        <v>56.480706689999998</v>
      </c>
      <c r="I4" t="s">
        <v>21</v>
      </c>
      <c r="J4" t="s">
        <v>21</v>
      </c>
      <c r="K4" t="s">
        <v>21</v>
      </c>
    </row>
    <row r="5" spans="1:11">
      <c r="A5" s="1" t="s">
        <v>4</v>
      </c>
      <c r="B5" s="1" t="s">
        <v>31</v>
      </c>
      <c r="C5" s="1" t="s">
        <v>19</v>
      </c>
      <c r="D5">
        <v>0.37352566300000001</v>
      </c>
      <c r="E5">
        <v>0.65045610600000003</v>
      </c>
      <c r="F5" s="1" t="s">
        <v>24</v>
      </c>
      <c r="G5">
        <v>2948.6545219999998</v>
      </c>
      <c r="H5">
        <v>102.46798750000001</v>
      </c>
      <c r="I5" t="s">
        <v>21</v>
      </c>
      <c r="J5" t="s">
        <v>21</v>
      </c>
      <c r="K5" t="s">
        <v>21</v>
      </c>
    </row>
    <row r="6" spans="1:11">
      <c r="A6" s="1" t="s">
        <v>4</v>
      </c>
      <c r="B6" s="1" t="s">
        <v>31</v>
      </c>
      <c r="C6" s="1" t="s">
        <v>19</v>
      </c>
      <c r="D6">
        <v>0.37227261699999997</v>
      </c>
      <c r="E6">
        <v>0.65038894800000002</v>
      </c>
      <c r="F6" s="1" t="s">
        <v>25</v>
      </c>
      <c r="G6">
        <v>2747.3842610000002</v>
      </c>
      <c r="H6">
        <v>84.493474250000006</v>
      </c>
      <c r="I6" t="s">
        <v>21</v>
      </c>
      <c r="J6" t="s">
        <v>21</v>
      </c>
      <c r="K6" t="s">
        <v>21</v>
      </c>
    </row>
    <row r="7" spans="1:11">
      <c r="A7" s="1" t="s">
        <v>4</v>
      </c>
      <c r="B7" s="1" t="s">
        <v>31</v>
      </c>
      <c r="C7" s="1" t="s">
        <v>19</v>
      </c>
      <c r="D7">
        <v>0.37280906899999999</v>
      </c>
      <c r="E7">
        <v>0.65041419499999997</v>
      </c>
      <c r="F7" s="1" t="s">
        <v>26</v>
      </c>
      <c r="G7">
        <v>2905.2830060000001</v>
      </c>
      <c r="H7">
        <v>75.154106139999996</v>
      </c>
      <c r="I7" t="s">
        <v>21</v>
      </c>
      <c r="J7" t="s">
        <v>21</v>
      </c>
      <c r="K7" t="s">
        <v>21</v>
      </c>
    </row>
    <row r="8" spans="1:11">
      <c r="A8" s="1" t="s">
        <v>4</v>
      </c>
      <c r="B8" s="1" t="s">
        <v>31</v>
      </c>
      <c r="C8" s="1" t="s">
        <v>19</v>
      </c>
      <c r="D8">
        <v>0.37227795600000002</v>
      </c>
      <c r="E8">
        <v>0.65039398599999998</v>
      </c>
      <c r="F8" s="1" t="s">
        <v>27</v>
      </c>
      <c r="G8">
        <v>2959.3079579999999</v>
      </c>
      <c r="H8">
        <v>100.1859663</v>
      </c>
      <c r="I8" t="s">
        <v>21</v>
      </c>
      <c r="J8" t="s">
        <v>21</v>
      </c>
      <c r="K8" t="s">
        <v>21</v>
      </c>
    </row>
    <row r="9" spans="1:11">
      <c r="A9" s="1" t="s">
        <v>4</v>
      </c>
      <c r="B9" s="1" t="s">
        <v>31</v>
      </c>
      <c r="C9" s="1" t="s">
        <v>19</v>
      </c>
      <c r="D9">
        <v>0.37322755800000001</v>
      </c>
      <c r="E9">
        <v>0.65045443599999997</v>
      </c>
      <c r="F9" s="1" t="s">
        <v>28</v>
      </c>
      <c r="G9">
        <v>2764.393857</v>
      </c>
      <c r="H9">
        <v>91.888629199999997</v>
      </c>
      <c r="I9" t="s">
        <v>21</v>
      </c>
      <c r="J9" t="s">
        <v>21</v>
      </c>
      <c r="K9" t="s">
        <v>21</v>
      </c>
    </row>
    <row r="10" spans="1:11">
      <c r="A10" s="1"/>
      <c r="B10" s="1"/>
      <c r="C10" s="1"/>
      <c r="D10">
        <f>SUBTOTAL(101,d48_[mae])</f>
        <v>0.38155894174999999</v>
      </c>
      <c r="E10">
        <f>SUBTOTAL(101,d48_[rmse])</f>
        <v>0.65223974549999997</v>
      </c>
      <c r="G10">
        <f>SUBTOTAL(101,d48_[fit_time])</f>
        <v>2939.573958125</v>
      </c>
      <c r="H10">
        <f>SUBTOTAL(101,d48_[inference_time])</f>
        <v>87.539487428750007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B253-7C43-4BD0-9A2F-13C8CEB532AF}">
  <dimension ref="A1:F6"/>
  <sheetViews>
    <sheetView tabSelected="1" workbookViewId="0">
      <selection activeCell="F14" sqref="F14"/>
    </sheetView>
  </sheetViews>
  <sheetFormatPr defaultRowHeight="14"/>
  <sheetData>
    <row r="1" spans="1:6" ht="14.5" thickBot="1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</row>
    <row r="2" spans="1:6" ht="15" thickTop="1" thickBot="1">
      <c r="A2" t="s">
        <v>4</v>
      </c>
      <c r="B2" t="s">
        <v>5</v>
      </c>
      <c r="C2" s="2">
        <f>SUBTOTAL(101,d12_[mae])</f>
        <v>0.38169781125000002</v>
      </c>
      <c r="D2" s="2">
        <f>SUBTOTAL(101,d12_[rmse])</f>
        <v>0.66379011112499997</v>
      </c>
      <c r="E2" s="2">
        <f>SUBTOTAL(101,d12_[fit_time])</f>
        <v>3528.3595998749997</v>
      </c>
      <c r="F2" s="2">
        <f>SUBTOTAL(101,d12_[inference_time])</f>
        <v>107.29644111375001</v>
      </c>
    </row>
    <row r="3" spans="1:6" ht="15" thickTop="1" thickBot="1">
      <c r="A3" t="s">
        <v>4</v>
      </c>
      <c r="B3" t="s">
        <v>6</v>
      </c>
      <c r="C3" s="2">
        <v>0.359305526125</v>
      </c>
      <c r="D3" s="2">
        <v>0.60721552075000007</v>
      </c>
      <c r="E3" s="2">
        <v>2933.0464668750001</v>
      </c>
      <c r="F3" s="2">
        <v>46.94845482625</v>
      </c>
    </row>
    <row r="4" spans="1:6" ht="15" thickTop="1" thickBot="1">
      <c r="A4" t="s">
        <v>4</v>
      </c>
      <c r="B4" t="s">
        <v>7</v>
      </c>
      <c r="C4" s="2">
        <v>0.37290985662499998</v>
      </c>
      <c r="D4" s="2">
        <v>0.63529464312499995</v>
      </c>
      <c r="E4" s="2">
        <v>2898.1438466250002</v>
      </c>
      <c r="F4" s="2">
        <v>65.988236097499993</v>
      </c>
    </row>
    <row r="5" spans="1:6" ht="14.5" thickTop="1">
      <c r="A5" t="s">
        <v>4</v>
      </c>
      <c r="B5" t="s">
        <v>8</v>
      </c>
      <c r="C5" s="2">
        <v>0.38155894174999999</v>
      </c>
      <c r="D5" s="2">
        <v>0.65223974549999997</v>
      </c>
      <c r="E5" s="2">
        <v>2939.573958125</v>
      </c>
      <c r="F5" s="2">
        <v>87.539487428750007</v>
      </c>
    </row>
    <row r="6" spans="1:6">
      <c r="A6" t="s">
        <v>4</v>
      </c>
      <c r="B6" t="s">
        <v>9</v>
      </c>
      <c r="C6">
        <f>AVERAGE(C2:C5)</f>
        <v>0.37386803393750001</v>
      </c>
      <c r="D6">
        <f t="shared" ref="D6:F6" si="0">AVERAGE(D2:D5)</f>
        <v>0.63963500512499993</v>
      </c>
      <c r="E6">
        <f t="shared" si="0"/>
        <v>3074.780967875</v>
      </c>
      <c r="F6">
        <f t="shared" si="0"/>
        <v>76.943154866562494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4F966A-BA24-4126-93FE-AC51C004F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d12</vt:lpstr>
      <vt:lpstr>d24</vt:lpstr>
      <vt:lpstr>d36</vt:lpstr>
      <vt:lpstr>d48</vt:lpstr>
      <vt:lpstr>prophet_result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chen</dc:creator>
  <cp:lastModifiedBy>steven chen</cp:lastModifiedBy>
  <dcterms:created xsi:type="dcterms:W3CDTF">2026-07-14T05:43:30Z</dcterms:created>
  <dcterms:modified xsi:type="dcterms:W3CDTF">2026-07-14T06:10:39Z</dcterms:modified>
</cp:coreProperties>
</file>