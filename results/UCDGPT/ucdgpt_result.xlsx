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tables/table2.xml" ContentType="application/vnd.openxmlformats-officedocument.spreadsheetml.table+xml"/>
  <Override PartName="/xl/queryTables/queryTable2.xml" ContentType="application/vnd.openxmlformats-officedocument.spreadsheetml.queryTable+xml"/>
  <Override PartName="/xl/tables/table3.xml" ContentType="application/vnd.openxmlformats-officedocument.spreadsheetml.table+xml"/>
  <Override PartName="/xl/queryTables/queryTable3.xml" ContentType="application/vnd.openxmlformats-officedocument.spreadsheetml.queryTable+xml"/>
  <Override PartName="/xl/tables/table4.xml" ContentType="application/vnd.openxmlformats-officedocument.spreadsheetml.table+xml"/>
  <Override PartName="/xl/queryTables/queryTable4.xml" ContentType="application/vnd.openxmlformats-officedocument.spreadsheetml.query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932"/>
  <workbookPr/>
  <mc:AlternateContent xmlns:mc="http://schemas.openxmlformats.org/markup-compatibility/2006">
    <mc:Choice Requires="x15">
      <x15ac:absPath xmlns:x15ac="http://schemas.microsoft.com/office/spreadsheetml/2010/11/ac" url="C:\Users\Steven\Desktop\GitHub\TFB\results\UCDGPT\"/>
    </mc:Choice>
  </mc:AlternateContent>
  <xr:revisionPtr revIDLastSave="0" documentId="13_ncr:1_{7B230BF4-9E3D-48ED-A6AD-1B262727ED7C}" xr6:coauthVersionLast="47" xr6:coauthVersionMax="47" xr10:uidLastSave="{00000000-0000-0000-0000-000000000000}"/>
  <bookViews>
    <workbookView xWindow="13800" yWindow="3500" windowWidth="21790" windowHeight="15370" activeTab="4" xr2:uid="{00000000-000D-0000-FFFF-FFFF00000000}"/>
  </bookViews>
  <sheets>
    <sheet name="d12" sheetId="2" r:id="rId1"/>
    <sheet name="d24" sheetId="3" r:id="rId2"/>
    <sheet name="d36" sheetId="4" r:id="rId3"/>
    <sheet name="d48" sheetId="5" r:id="rId4"/>
    <sheet name="overall" sheetId="1" r:id="rId5"/>
  </sheets>
  <definedNames>
    <definedName name="ExternalData_1" localSheetId="0" hidden="1">'d12'!$A$1:$K$9</definedName>
    <definedName name="ExternalData_2" localSheetId="1" hidden="1">'d24'!$A$1:$K$9</definedName>
    <definedName name="ExternalData_3" localSheetId="2" hidden="1">'d36'!$A$1:$K$9</definedName>
    <definedName name="ExternalData_4" localSheetId="3" hidden="1">'d48'!$A$1:$K$9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F6" i="1" l="1"/>
  <c r="E6" i="1"/>
  <c r="D6" i="1"/>
  <c r="C6" i="1"/>
  <c r="E10" i="5"/>
  <c r="G10" i="5"/>
  <c r="H10" i="5"/>
  <c r="D10" i="5"/>
  <c r="E10" i="4"/>
  <c r="G10" i="4"/>
  <c r="H10" i="4"/>
  <c r="D10" i="4"/>
  <c r="E10" i="3"/>
  <c r="G10" i="3"/>
  <c r="H10" i="3"/>
  <c r="D10" i="3"/>
  <c r="E10" i="2"/>
  <c r="G10" i="2"/>
  <c r="H10" i="2"/>
  <c r="D10" i="2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C6BC12C2-167C-42D6-B40F-4AC7F1F475CD}" keepAlive="1" name="Query - d12" description="Connection to the 'd12' query in the workbook." type="5" refreshedVersion="8" background="1" saveData="1">
    <dbPr connection="Provider=Microsoft.Mashup.OleDb.1;Data Source=$Workbook$;Location=d12;Extended Properties=&quot;&quot;" command="SELECT * FROM [d12]"/>
  </connection>
  <connection id="2" xr16:uid="{8FCC9E4F-0C4E-4CBB-9398-3F477A469594}" keepAlive="1" name="Query - d24" description="Connection to the 'd24' query in the workbook." type="5" refreshedVersion="8" background="1" saveData="1">
    <dbPr connection="Provider=Microsoft.Mashup.OleDb.1;Data Source=$Workbook$;Location=d24;Extended Properties=&quot;&quot;" command="SELECT * FROM [d24]"/>
  </connection>
  <connection id="3" xr16:uid="{B65CA4E1-8FAD-407D-AB76-4D9B6207D432}" keepAlive="1" name="Query - d36" description="Connection to the 'd36' query in the workbook." type="5" refreshedVersion="8" background="1" saveData="1">
    <dbPr connection="Provider=Microsoft.Mashup.OleDb.1;Data Source=$Workbook$;Location=d36;Extended Properties=&quot;&quot;" command="SELECT * FROM [d36]"/>
  </connection>
  <connection id="4" xr16:uid="{599D4102-A31D-4D11-9AB0-543DB8EB1C57}" keepAlive="1" name="Query - d48" description="Connection to the 'd48' query in the workbook." type="5" refreshedVersion="8" background="1" saveData="1">
    <dbPr connection="Provider=Microsoft.Mashup.OleDb.1;Data Source=$Workbook$;Location=d48;Extended Properties=&quot;&quot;" command="SELECT * FROM [d48]"/>
  </connection>
  <connection id="5" xr16:uid="{073BC386-35D6-4471-9053-1DB3696537F5}" keepAlive="1" name="Query - Parameter1" description="Connection to the 'Parameter1' query in the workbook." type="5" refreshedVersion="0" background="1">
    <dbPr connection="Provider=Microsoft.Mashup.OleDb.1;Data Source=$Workbook$;Location=Parameter1;Extended Properties=&quot;&quot;" command="SELECT * FROM [Parameter1]"/>
  </connection>
  <connection id="6" xr16:uid="{9C41A0F0-94FF-44C6-9DA1-35531EBCBB08}" keepAlive="1" name="Query - Parameter2" description="Connection to the 'Parameter2' query in the workbook." type="5" refreshedVersion="0" background="1">
    <dbPr connection="Provider=Microsoft.Mashup.OleDb.1;Data Source=$Workbook$;Location=Parameter2;Extended Properties=&quot;&quot;" command="SELECT * FROM [Parameter2]"/>
  </connection>
  <connection id="7" xr16:uid="{82296FC3-DCEA-4509-9B00-242318016DE6}" keepAlive="1" name="Query - Parameter3" description="Connection to the 'Parameter3' query in the workbook." type="5" refreshedVersion="0" background="1">
    <dbPr connection="Provider=Microsoft.Mashup.OleDb.1;Data Source=$Workbook$;Location=Parameter3;Extended Properties=&quot;&quot;" command="SELECT * FROM [Parameter3]"/>
  </connection>
  <connection id="8" xr16:uid="{BCBA9BF0-A5C5-4D90-BFC1-701D8826B19E}" keepAlive="1" name="Query - Parameter4" description="Connection to the 'Parameter4' query in the workbook." type="5" refreshedVersion="0" background="1">
    <dbPr connection="Provider=Microsoft.Mashup.OleDb.1;Data Source=$Workbook$;Location=Parameter4;Extended Properties=&quot;&quot;" command="SELECT * FROM [Parameter4]"/>
  </connection>
  <connection id="9" xr16:uid="{A4AE00DC-9582-4CBD-BCBD-AB0B84D13741}" keepAlive="1" name="Query - Sample File" description="Connection to the 'Sample File' query in the workbook." type="5" refreshedVersion="0" background="1">
    <dbPr connection="Provider=Microsoft.Mashup.OleDb.1;Data Source=$Workbook$;Location=&quot;Sample File&quot;;Extended Properties=&quot;&quot;" command="SELECT * FROM [Sample File]"/>
  </connection>
  <connection id="10" xr16:uid="{7B614156-62F0-41C2-A24F-92E291EFD8C4}" keepAlive="1" name="Query - Sample File (2)" description="Connection to the 'Sample File (2)' query in the workbook." type="5" refreshedVersion="0" background="1">
    <dbPr connection="Provider=Microsoft.Mashup.OleDb.1;Data Source=$Workbook$;Location=&quot;Sample File (2)&quot;;Extended Properties=&quot;&quot;" command="SELECT * FROM [Sample File (2)]"/>
  </connection>
  <connection id="11" xr16:uid="{AADA6322-C829-412D-AC78-6AAB56393AFE}" keepAlive="1" name="Query - Sample File (3)" description="Connection to the 'Sample File (3)' query in the workbook." type="5" refreshedVersion="0" background="1">
    <dbPr connection="Provider=Microsoft.Mashup.OleDb.1;Data Source=$Workbook$;Location=&quot;Sample File (3)&quot;;Extended Properties=&quot;&quot;" command="SELECT * FROM [Sample File (3)]"/>
  </connection>
  <connection id="12" xr16:uid="{524DEB88-B386-4D12-A0F4-E284D521E489}" keepAlive="1" name="Query - Sample File (4)" description="Connection to the 'Sample File (4)' query in the workbook." type="5" refreshedVersion="0" background="1">
    <dbPr connection="Provider=Microsoft.Mashup.OleDb.1;Data Source=$Workbook$;Location=&quot;Sample File (4)&quot;;Extended Properties=&quot;&quot;" command="SELECT * FROM [Sample File (4)]"/>
  </connection>
  <connection id="13" xr16:uid="{F5ABF10B-912A-4567-B158-ECE7D25B0521}" keepAlive="1" name="Query - Transform File" description="Connection to the 'Transform File' query in the workbook." type="5" refreshedVersion="0" background="1">
    <dbPr connection="Provider=Microsoft.Mashup.OleDb.1;Data Source=$Workbook$;Location=&quot;Transform File&quot;;Extended Properties=&quot;&quot;" command="SELECT * FROM [Transform File]"/>
  </connection>
  <connection id="14" xr16:uid="{FB57084C-94BD-4029-A8C3-FD46F5F8A339}" keepAlive="1" name="Query - Transform File (2)" description="Connection to the 'Transform File (2)' query in the workbook." type="5" refreshedVersion="0" background="1">
    <dbPr connection="Provider=Microsoft.Mashup.OleDb.1;Data Source=$Workbook$;Location=&quot;Transform File (2)&quot;;Extended Properties=&quot;&quot;" command="SELECT * FROM [Transform File (2)]"/>
  </connection>
  <connection id="15" xr16:uid="{920F0FCA-F369-4805-A549-3CA5107EBD5F}" keepAlive="1" name="Query - Transform File (3)" description="Connection to the 'Transform File (3)' query in the workbook." type="5" refreshedVersion="0" background="1">
    <dbPr connection="Provider=Microsoft.Mashup.OleDb.1;Data Source=$Workbook$;Location=&quot;Transform File (3)&quot;;Extended Properties=&quot;&quot;" command="SELECT * FROM [Transform File (3)]"/>
  </connection>
  <connection id="16" xr16:uid="{2820458C-E5A1-400A-BBE2-DB844404AD25}" keepAlive="1" name="Query - Transform File (4)" description="Connection to the 'Transform File (4)' query in the workbook." type="5" refreshedVersion="0" background="1">
    <dbPr connection="Provider=Microsoft.Mashup.OleDb.1;Data Source=$Workbook$;Location=&quot;Transform File (4)&quot;;Extended Properties=&quot;&quot;" command="SELECT * FROM [Transform File (4)]"/>
  </connection>
  <connection id="17" xr16:uid="{FF8C7CB6-9F3E-4D63-8660-60EC33A2A0A9}" keepAlive="1" name="Query - Transform Sample File" description="Connection to the 'Transform Sample File' query in the workbook." type="5" refreshedVersion="0" background="1">
    <dbPr connection="Provider=Microsoft.Mashup.OleDb.1;Data Source=$Workbook$;Location=&quot;Transform Sample File&quot;;Extended Properties=&quot;&quot;" command="SELECT * FROM [Transform Sample File]"/>
  </connection>
  <connection id="18" xr16:uid="{F268A5CB-C958-4470-B522-EE8FF54FAB11}" keepAlive="1" name="Query - Transform Sample File (2)" description="Connection to the 'Transform Sample File (2)' query in the workbook." type="5" refreshedVersion="0" background="1">
    <dbPr connection="Provider=Microsoft.Mashup.OleDb.1;Data Source=$Workbook$;Location=&quot;Transform Sample File (2)&quot;;Extended Properties=&quot;&quot;" command="SELECT * FROM [Transform Sample File (2)]"/>
  </connection>
  <connection id="19" xr16:uid="{884F415E-EEE3-4ED8-8A78-8C9D0D3C2710}" keepAlive="1" name="Query - Transform Sample File (3)" description="Connection to the 'Transform Sample File (3)' query in the workbook." type="5" refreshedVersion="0" background="1">
    <dbPr connection="Provider=Microsoft.Mashup.OleDb.1;Data Source=$Workbook$;Location=&quot;Transform Sample File (3)&quot;;Extended Properties=&quot;&quot;" command="SELECT * FROM [Transform Sample File (3)]"/>
  </connection>
  <connection id="20" xr16:uid="{2E6605A9-1EEC-4D37-A505-CD013F94FE51}" keepAlive="1" name="Query - Transform Sample File (4)" description="Connection to the 'Transform Sample File (4)' query in the workbook." type="5" refreshedVersion="0" background="1">
    <dbPr connection="Provider=Microsoft.Mashup.OleDb.1;Data Source=$Workbook$;Location=&quot;Transform Sample File (4)&quot;;Extended Properties=&quot;&quot;" command="SELECT * FROM [Transform Sample File (4)]"/>
  </connection>
</connections>
</file>

<file path=xl/sharedStrings.xml><?xml version="1.0" encoding="utf-8"?>
<sst xmlns="http://schemas.openxmlformats.org/spreadsheetml/2006/main" count="284" uniqueCount="35">
  <si>
    <t>model_name</t>
  </si>
  <si>
    <t>strategy_args</t>
  </si>
  <si>
    <t>model_params</t>
  </si>
  <si>
    <t>mae</t>
  </si>
  <si>
    <t>rmse</t>
  </si>
  <si>
    <t>file_name</t>
  </si>
  <si>
    <t>fit_time</t>
  </si>
  <si>
    <t>inference_time</t>
  </si>
  <si>
    <t>actual_data</t>
  </si>
  <si>
    <t>inference_data</t>
  </si>
  <si>
    <t>log_info</t>
  </si>
  <si>
    <t>UCDGPT</t>
  </si>
  <si>
    <t>{"deterministic": "efficient", "horizon": 288, "save_true_pred": false, "seed": 2026, "strategy_name": "fixed_forecast", "target_channel": null, "train_ratio_in_tv": 0.8}</t>
  </si>
  <si>
    <t>{"batch_size": 32, "contrastive_weight": 0.5, "curriculum_mask": 1, "curriculum_mask_rate": 3, "curriculum_mask_ratio": 0.01, "cycle_gamma": 1.0, "horizon": 288, "hour_patch_size": 1, "lr": 0.0003, "mask_strategy": "combined", "meta_weight": 0.5, "min_lr": 0.001, "model_size": "medium", "norm": true, "num_epochs": 500, "patch_size": 4, "patience": 5, "pred_len": 288, "psych_top_k": 2, "s_mask_ratio": 0.15, "seq_len": 576, "t_mask_ratio": 0.15, "t_patch_size": 16}</t>
  </si>
  <si>
    <t>event_0.csv</t>
  </si>
  <si>
    <t/>
  </si>
  <si>
    <t>event_1.csv</t>
  </si>
  <si>
    <t>event_2.csv</t>
  </si>
  <si>
    <t>event_3.csv</t>
  </si>
  <si>
    <t>event_4.csv</t>
  </si>
  <si>
    <t>event_5.csv</t>
  </si>
  <si>
    <t>event_6.csv</t>
  </si>
  <si>
    <t>event_7.csv</t>
  </si>
  <si>
    <t>{"deterministic": "efficient", "horizon": 576, "save_true_pred": false, "seed": 2026, "strategy_name": "fixed_forecast", "target_channel": null, "train_ratio_in_tv": 0.8}</t>
  </si>
  <si>
    <t>{"batch_size": 32, "contrastive_weight": 0.5, "curriculum_mask": 1, "curriculum_mask_rate": 3, "curriculum_mask_ratio": 0.01, "cycle_gamma": 1.0, "horizon": 576, "hour_patch_size": 1, "lr": 0.0003, "mask_strategy": "combined", "meta_weight": 0.5, "min_lr": 0.001, "model_size": "medium", "norm": true, "num_epochs": 500, "patch_size": 4, "patience": 5, "pred_len": 576, "psych_top_k": 2, "s_mask_ratio": 0.15, "seq_len": 576, "t_mask_ratio": 0.15, "t_patch_size": 16}</t>
  </si>
  <si>
    <t>{"deterministic": "efficient", "horizon": 864, "save_true_pred": false, "seed": 2026, "strategy_name": "fixed_forecast", "target_channel": null, "train_ratio_in_tv": 0.8}</t>
  </si>
  <si>
    <t>{"batch_size": 32, "contrastive_weight": 0.5, "curriculum_mask": 1, "curriculum_mask_rate": 3, "curriculum_mask_ratio": 0.01, "cycle_gamma": 1.0, "horizon": 864, "hour_patch_size": 1, "lr": 0.0003, "mask_strategy": "combined", "meta_weight": 0.5, "min_lr": 0.001, "model_size": "medium", "norm": true, "num_epochs": 500, "patch_size": 4, "patience": 5, "pred_len": 864, "psych_top_k": 2, "s_mask_ratio": 0.15, "seq_len": 576, "t_mask_ratio": 0.15, "t_patch_size": 16}</t>
  </si>
  <si>
    <t>{"deterministic": "efficient", "horizon": 1152, "save_true_pred": false, "seed": 2026, "strategy_name": "fixed_forecast", "target_channel": null, "train_ratio_in_tv": 0.8}</t>
  </si>
  <si>
    <t>{"batch_size": 32, "contrastive_weight": 0.5, "curriculum_mask": 1, "curriculum_mask_rate": 3, "curriculum_mask_ratio": 0.01, "cycle_gamma": 1.0, "horizon": 1152, "hour_patch_size": 1, "lr": 0.0003, "mask_strategy": "combined", "meta_weight": 0.5, "min_lr": 0.001, "model_size": "medium", "norm": true, "num_epochs": 500, "patch_size": 4, "patience": 5, "pred_len": 1152, "psych_top_k": 2, "s_mask_ratio": 0.15, "seq_len": 576, "t_mask_ratio": 0.15, "t_patch_size": 16}</t>
  </si>
  <si>
    <t>horizon</t>
  </si>
  <si>
    <t>d12</t>
  </si>
  <si>
    <t>d24</t>
  </si>
  <si>
    <t>d36</t>
  </si>
  <si>
    <t>d48</t>
  </si>
  <si>
    <t>ALL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</si>
</sst>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sz val="11"/>
      <color theme="1"/>
      <name val="等线"/>
      <scheme val="minor"/>
    </font>
  </fonts>
  <fills count="3">
    <fill>
      <patternFill patternType="none"/>
    </fill>
    <fill>
      <patternFill patternType="gray125"/>
    </fill>
    <fill>
      <patternFill patternType="solid">
        <fgColor theme="9" tint="0.79998168889431442"/>
        <bgColor theme="9" tint="0.79998168889431442"/>
      </patternFill>
    </fill>
  </fills>
  <borders count="3">
    <border>
      <left/>
      <right/>
      <top/>
      <bottom/>
      <diagonal/>
    </border>
    <border>
      <left style="thin">
        <color theme="9" tint="0.39997558519241921"/>
      </left>
      <right/>
      <top style="thin">
        <color theme="9" tint="0.39997558519241921"/>
      </top>
      <bottom style="thin">
        <color theme="9" tint="0.39997558519241921"/>
      </bottom>
      <diagonal/>
    </border>
    <border>
      <left/>
      <right/>
      <top style="double">
        <color theme="9"/>
      </top>
      <bottom style="thin">
        <color theme="9" tint="0.39997558519241921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 applyNumberFormat="1"/>
    <xf numFmtId="0" fontId="2" fillId="0" borderId="2" xfId="0" applyFont="1" applyBorder="1"/>
    <xf numFmtId="0" fontId="2" fillId="0" borderId="0" xfId="0" applyFont="1"/>
    <xf numFmtId="0" fontId="2" fillId="2" borderId="1" xfId="0" applyNumberFormat="1" applyFont="1" applyFill="1" applyBorder="1"/>
  </cellXfs>
  <cellStyles count="1">
    <cellStyle name="Normal" xfId="0" builtinId="0"/>
  </cellStyles>
  <dxfs count="28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connections" Target="connection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11" Type="http://schemas.openxmlformats.org/officeDocument/2006/relationships/customXml" Target="../customXml/item1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CCDE0B85-3002-497E-88A3-3C7B44709E62}" autoFormatId="16" applyNumberFormats="0" applyBorderFormats="0" applyFontFormats="0" applyPatternFormats="0" applyAlignmentFormats="0" applyWidthHeightFormats="0">
  <queryTableRefresh nextId="13">
    <queryTableFields count="11">
      <queryTableField id="2" name="model_name" tableColumnId="2"/>
      <queryTableField id="3" name="strategy_args" tableColumnId="3"/>
      <queryTableField id="4" name="model_params" tableColumnId="4"/>
      <queryTableField id="5" name="mae" tableColumnId="5"/>
      <queryTableField id="6" name="rmse" tableColumnId="6"/>
      <queryTableField id="7" name="file_name" tableColumnId="7"/>
      <queryTableField id="8" name="fit_time" tableColumnId="8"/>
      <queryTableField id="9" name="inference_time" tableColumnId="9"/>
      <queryTableField id="10" name="actual_data" tableColumnId="10"/>
      <queryTableField id="11" name="inference_data" tableColumnId="11"/>
      <queryTableField id="12" name="log_info" tableColumnId="12"/>
    </queryTableFields>
    <queryTableDeletedFields count="1">
      <deletedField name="Source.Name"/>
    </queryTableDeletedFields>
  </queryTableRefresh>
</queryTable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2" connectionId="2" xr16:uid="{1729AEE0-69A9-42CE-81CF-ACE8FE3B49C3}" autoFormatId="16" applyNumberFormats="0" applyBorderFormats="0" applyFontFormats="0" applyPatternFormats="0" applyAlignmentFormats="0" applyWidthHeightFormats="0">
  <queryTableRefresh nextId="13">
    <queryTableFields count="11">
      <queryTableField id="2" name="model_name" tableColumnId="2"/>
      <queryTableField id="3" name="strategy_args" tableColumnId="3"/>
      <queryTableField id="4" name="model_params" tableColumnId="4"/>
      <queryTableField id="5" name="mae" tableColumnId="5"/>
      <queryTableField id="6" name="rmse" tableColumnId="6"/>
      <queryTableField id="7" name="file_name" tableColumnId="7"/>
      <queryTableField id="8" name="fit_time" tableColumnId="8"/>
      <queryTableField id="9" name="inference_time" tableColumnId="9"/>
      <queryTableField id="10" name="actual_data" tableColumnId="10"/>
      <queryTableField id="11" name="inference_data" tableColumnId="11"/>
      <queryTableField id="12" name="log_info" tableColumnId="12"/>
    </queryTableFields>
    <queryTableDeletedFields count="1">
      <deletedField name="Source.Name"/>
    </queryTableDeletedFields>
  </queryTableRefresh>
</queryTable>
</file>

<file path=xl/queryTables/queryTable3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3" connectionId="3" xr16:uid="{DD1884DE-FDC5-47A5-87C1-FEABCC55F6D1}" autoFormatId="16" applyNumberFormats="0" applyBorderFormats="0" applyFontFormats="0" applyPatternFormats="0" applyAlignmentFormats="0" applyWidthHeightFormats="0">
  <queryTableRefresh nextId="13">
    <queryTableFields count="11">
      <queryTableField id="2" name="model_name" tableColumnId="2"/>
      <queryTableField id="3" name="strategy_args" tableColumnId="3"/>
      <queryTableField id="4" name="model_params" tableColumnId="4"/>
      <queryTableField id="5" name="mae" tableColumnId="5"/>
      <queryTableField id="6" name="rmse" tableColumnId="6"/>
      <queryTableField id="7" name="file_name" tableColumnId="7"/>
      <queryTableField id="8" name="fit_time" tableColumnId="8"/>
      <queryTableField id="9" name="inference_time" tableColumnId="9"/>
      <queryTableField id="10" name="actual_data" tableColumnId="10"/>
      <queryTableField id="11" name="inference_data" tableColumnId="11"/>
      <queryTableField id="12" name="log_info" tableColumnId="12"/>
    </queryTableFields>
    <queryTableDeletedFields count="1">
      <deletedField name="Source.Name"/>
    </queryTableDeletedFields>
  </queryTableRefresh>
</queryTable>
</file>

<file path=xl/queryTables/queryTable4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4" connectionId="4" xr16:uid="{8B52A632-CE19-4D51-9D99-49A9BEBD1A14}" autoFormatId="16" applyNumberFormats="0" applyBorderFormats="0" applyFontFormats="0" applyPatternFormats="0" applyAlignmentFormats="0" applyWidthHeightFormats="0">
  <queryTableRefresh nextId="13">
    <queryTableFields count="11">
      <queryTableField id="2" name="model_name" tableColumnId="2"/>
      <queryTableField id="3" name="strategy_args" tableColumnId="3"/>
      <queryTableField id="4" name="model_params" tableColumnId="4"/>
      <queryTableField id="5" name="mae" tableColumnId="5"/>
      <queryTableField id="6" name="rmse" tableColumnId="6"/>
      <queryTableField id="7" name="file_name" tableColumnId="7"/>
      <queryTableField id="8" name="fit_time" tableColumnId="8"/>
      <queryTableField id="9" name="inference_time" tableColumnId="9"/>
      <queryTableField id="10" name="actual_data" tableColumnId="10"/>
      <queryTableField id="11" name="inference_data" tableColumnId="11"/>
      <queryTableField id="12" name="log_info" tableColumnId="12"/>
    </queryTableFields>
    <queryTableDeletedFields count="1">
      <deletedField name="Source.Name"/>
    </queryTableDeleted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_rels/table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.xml"/></Relationships>
</file>

<file path=xl/tables/_rels/table3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3.xml"/></Relationships>
</file>

<file path=xl/tables/_rels/table4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4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500663C7-817D-4D18-A5AD-D298493BFCED}" name="d12_" displayName="d12_" ref="A1:K10" tableType="queryTable" totalsRowCount="1">
  <autoFilter ref="A1:K9" xr:uid="{500663C7-817D-4D18-A5AD-D298493BFCED}"/>
  <tableColumns count="11">
    <tableColumn id="2" xr3:uid="{C27FFA2D-BA2F-45BD-81CE-401A995625D8}" uniqueName="2" name="model_name" queryTableFieldId="2" dataDxfId="27" totalsRowDxfId="26"/>
    <tableColumn id="3" xr3:uid="{122E9735-3E12-4F53-A501-D8EB3035B3CC}" uniqueName="3" name="strategy_args" queryTableFieldId="3" dataDxfId="25" totalsRowDxfId="24"/>
    <tableColumn id="4" xr3:uid="{807C624B-2E97-4564-8BC3-0A8646F045DB}" uniqueName="4" name="model_params" queryTableFieldId="4" dataDxfId="23" totalsRowDxfId="22"/>
    <tableColumn id="5" xr3:uid="{AA94D943-1115-4B2D-9AE0-8C45976D45E5}" uniqueName="5" name="mae" totalsRowFunction="average" queryTableFieldId="5"/>
    <tableColumn id="6" xr3:uid="{FA99BFB0-6642-4582-9DE9-AEA607C7D67B}" uniqueName="6" name="rmse" totalsRowFunction="average" queryTableFieldId="6"/>
    <tableColumn id="7" xr3:uid="{1A598112-357C-4875-AEBA-782B40F18161}" uniqueName="7" name="file_name" queryTableFieldId="7" dataDxfId="21"/>
    <tableColumn id="8" xr3:uid="{0CFA3977-830F-4A5F-B4A0-11262A5A1ED0}" uniqueName="8" name="fit_time" totalsRowFunction="average" queryTableFieldId="8"/>
    <tableColumn id="9" xr3:uid="{46B34264-15EF-41BE-BE2D-B191961DC645}" uniqueName="9" name="inference_time" totalsRowFunction="average" queryTableFieldId="9"/>
    <tableColumn id="10" xr3:uid="{F721B2D8-9909-4562-BB6B-B85AF7A5FD61}" uniqueName="10" name="actual_data" queryTableFieldId="10"/>
    <tableColumn id="11" xr3:uid="{5F81838A-8B7F-45F6-B82F-A52A64379F94}" uniqueName="11" name="inference_data" queryTableFieldId="11"/>
    <tableColumn id="12" xr3:uid="{C846FF5F-CB4D-449D-9F9B-C60199385545}" uniqueName="12" name="log_info" queryTableFieldId="12"/>
  </tableColumns>
  <tableStyleInfo name="TableStyleMedium7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C46ABFDA-81A0-4160-B4C9-8413D055EF27}" name="d24_" displayName="d24_" ref="A1:K10" tableType="queryTable" totalsRowCount="1">
  <autoFilter ref="A1:K9" xr:uid="{C46ABFDA-81A0-4160-B4C9-8413D055EF27}"/>
  <tableColumns count="11">
    <tableColumn id="2" xr3:uid="{C0448495-487A-4D2A-9074-C1E33780584E}" uniqueName="2" name="model_name" queryTableFieldId="2" dataDxfId="20" totalsRowDxfId="19"/>
    <tableColumn id="3" xr3:uid="{B87FCBC4-F517-4598-8855-FF6690F22BAE}" uniqueName="3" name="strategy_args" queryTableFieldId="3" dataDxfId="18" totalsRowDxfId="17"/>
    <tableColumn id="4" xr3:uid="{4E824C87-5D9A-4587-A4B3-556F6FE556CD}" uniqueName="4" name="model_params" queryTableFieldId="4" dataDxfId="16" totalsRowDxfId="15"/>
    <tableColumn id="5" xr3:uid="{BA65BB6A-D3B9-48D1-9C1E-68EE365538BE}" uniqueName="5" name="mae" totalsRowFunction="average" queryTableFieldId="5"/>
    <tableColumn id="6" xr3:uid="{8AFEBD81-5B1D-4535-A27D-F2A991A01DE8}" uniqueName="6" name="rmse" totalsRowFunction="average" queryTableFieldId="6"/>
    <tableColumn id="7" xr3:uid="{0DC67B16-9A37-4360-AFCF-AC9BC442647E}" uniqueName="7" name="file_name" queryTableFieldId="7" dataDxfId="14"/>
    <tableColumn id="8" xr3:uid="{E383520B-38A0-42A8-9130-029E6955F30E}" uniqueName="8" name="fit_time" totalsRowFunction="average" queryTableFieldId="8"/>
    <tableColumn id="9" xr3:uid="{B276C152-D593-452C-893A-5743C10626B0}" uniqueName="9" name="inference_time" totalsRowFunction="average" queryTableFieldId="9"/>
    <tableColumn id="10" xr3:uid="{0AC01791-BA11-4BB6-A4B8-BD8408109B23}" uniqueName="10" name="actual_data" queryTableFieldId="10"/>
    <tableColumn id="11" xr3:uid="{F610BEEB-303A-48E2-8CE0-4FF4AFCE74EB}" uniqueName="11" name="inference_data" queryTableFieldId="11"/>
    <tableColumn id="12" xr3:uid="{D418AD0F-55BB-4D14-9209-416B2CE74CCF}" uniqueName="12" name="log_info" queryTableFieldId="12"/>
  </tableColumns>
  <tableStyleInfo name="TableStyleMedium7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858FE314-7F47-42B5-BD61-BE6FDE53DF57}" name="d36_" displayName="d36_" ref="A1:K10" tableType="queryTable" totalsRowCount="1">
  <autoFilter ref="A1:K9" xr:uid="{858FE314-7F47-42B5-BD61-BE6FDE53DF57}"/>
  <tableColumns count="11">
    <tableColumn id="2" xr3:uid="{7D31EBDC-0EE4-4A58-92F7-817E392E50CC}" uniqueName="2" name="model_name" queryTableFieldId="2" dataDxfId="13" totalsRowDxfId="12"/>
    <tableColumn id="3" xr3:uid="{E2367726-A42C-4054-9068-F31A806542AA}" uniqueName="3" name="strategy_args" queryTableFieldId="3" dataDxfId="11" totalsRowDxfId="10"/>
    <tableColumn id="4" xr3:uid="{8422CE89-2899-443A-A9C7-FA3651AFAC39}" uniqueName="4" name="model_params" queryTableFieldId="4" dataDxfId="9" totalsRowDxfId="8"/>
    <tableColumn id="5" xr3:uid="{6E38AF62-DB33-4D03-BC30-EB8AC99B80FB}" uniqueName="5" name="mae" totalsRowFunction="average" queryTableFieldId="5"/>
    <tableColumn id="6" xr3:uid="{376B1B9F-C3F4-48E5-A7CE-E77B8436CFEB}" uniqueName="6" name="rmse" totalsRowFunction="average" queryTableFieldId="6"/>
    <tableColumn id="7" xr3:uid="{C9110150-41CB-4A5C-9738-24BF81587D45}" uniqueName="7" name="file_name" queryTableFieldId="7" dataDxfId="7"/>
    <tableColumn id="8" xr3:uid="{46EFD223-32F9-448F-8086-2FB667821CB6}" uniqueName="8" name="fit_time" totalsRowFunction="average" queryTableFieldId="8"/>
    <tableColumn id="9" xr3:uid="{C9C6EDDF-FFED-4A2C-A303-72C6498C50EF}" uniqueName="9" name="inference_time" totalsRowFunction="average" queryTableFieldId="9"/>
    <tableColumn id="10" xr3:uid="{5C97202A-38BB-484D-9668-33CAD1284286}" uniqueName="10" name="actual_data" queryTableFieldId="10"/>
    <tableColumn id="11" xr3:uid="{56CC543B-6B0C-4562-A802-18CD5B741FF5}" uniqueName="11" name="inference_data" queryTableFieldId="11"/>
    <tableColumn id="12" xr3:uid="{2670931F-E8DD-4320-B31B-D0544A3FDAAA}" uniqueName="12" name="log_info" queryTableFieldId="12"/>
  </tableColumns>
  <tableStyleInfo name="TableStyleMedium7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CFDCA224-6B53-4BE9-BBCC-91A6C4979814}" name="d48_" displayName="d48_" ref="A1:K10" tableType="queryTable" totalsRowCount="1">
  <autoFilter ref="A1:K9" xr:uid="{CFDCA224-6B53-4BE9-BBCC-91A6C4979814}"/>
  <tableColumns count="11">
    <tableColumn id="2" xr3:uid="{34AD5CB8-189A-4893-B268-999FB5644533}" uniqueName="2" name="model_name" queryTableFieldId="2" dataDxfId="6" totalsRowDxfId="5"/>
    <tableColumn id="3" xr3:uid="{148549B9-3EEA-435F-BE4D-A3C003DCFD1B}" uniqueName="3" name="strategy_args" queryTableFieldId="3" dataDxfId="4" totalsRowDxfId="3"/>
    <tableColumn id="4" xr3:uid="{976CA028-625F-4B02-8338-A0D9DA5A4BCE}" uniqueName="4" name="model_params" queryTableFieldId="4" dataDxfId="2" totalsRowDxfId="1"/>
    <tableColumn id="5" xr3:uid="{33AE45F1-D083-47C6-8C6B-90D1F567A7C8}" uniqueName="5" name="mae" totalsRowFunction="average" queryTableFieldId="5"/>
    <tableColumn id="6" xr3:uid="{CE3DDAD1-3C69-4CA5-86C3-6C413F19E231}" uniqueName="6" name="rmse" totalsRowFunction="average" queryTableFieldId="6"/>
    <tableColumn id="7" xr3:uid="{8681C17C-150B-4D3E-A137-5BFB7FCC68E5}" uniqueName="7" name="file_name" queryTableFieldId="7" dataDxfId="0"/>
    <tableColumn id="8" xr3:uid="{B3250352-B0F6-4C2F-9F9C-085574495B44}" uniqueName="8" name="fit_time" totalsRowFunction="average" queryTableFieldId="8"/>
    <tableColumn id="9" xr3:uid="{2382756C-0B93-4965-838F-80DA6AB3C837}" uniqueName="9" name="inference_time" totalsRowFunction="average" queryTableFieldId="9"/>
    <tableColumn id="10" xr3:uid="{6CBCC671-E6FA-4025-A89F-977608CE043F}" uniqueName="10" name="actual_data" queryTableFieldId="10"/>
    <tableColumn id="11" xr3:uid="{4AE5D94D-A17A-43F5-8800-CF36BC62C70D}" uniqueName="11" name="inference_data" queryTableFieldId="11"/>
    <tableColumn id="12" xr3:uid="{4D138982-30BC-4EEC-9CCE-E0669862200A}" uniqueName="12" name="log_info" queryTableFieldId="12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F222D8-F482-4D56-9E63-BFABF00D5E2A}">
  <dimension ref="A1:K10"/>
  <sheetViews>
    <sheetView workbookViewId="0">
      <selection activeCell="I17" sqref="I17"/>
    </sheetView>
  </sheetViews>
  <sheetFormatPr defaultRowHeight="14"/>
  <cols>
    <col min="1" max="1" width="14" bestFit="1" customWidth="1"/>
    <col min="2" max="2" width="11.58203125" customWidth="1"/>
    <col min="3" max="3" width="12.9140625" customWidth="1"/>
    <col min="4" max="5" width="12.33203125" bestFit="1" customWidth="1"/>
    <col min="6" max="6" width="11.25" bestFit="1" customWidth="1"/>
    <col min="7" max="7" width="12.33203125" bestFit="1" customWidth="1"/>
    <col min="8" max="8" width="15.83203125" bestFit="1" customWidth="1"/>
    <col min="9" max="9" width="12.58203125" bestFit="1" customWidth="1"/>
    <col min="10" max="10" width="15.6640625" bestFit="1" customWidth="1"/>
    <col min="11" max="11" width="10" bestFit="1" customWidth="1"/>
  </cols>
  <sheetData>
    <row r="1" spans="1:1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>
      <c r="A2" s="1" t="s">
        <v>11</v>
      </c>
      <c r="B2" s="1" t="s">
        <v>12</v>
      </c>
      <c r="C2" s="1" t="s">
        <v>13</v>
      </c>
      <c r="D2">
        <v>0.43842765647339726</v>
      </c>
      <c r="E2">
        <v>0.64558767189088484</v>
      </c>
      <c r="F2" s="1" t="s">
        <v>14</v>
      </c>
      <c r="G2">
        <v>1196.8452825546265</v>
      </c>
      <c r="H2">
        <v>0.21799540519714355</v>
      </c>
      <c r="I2" t="s">
        <v>15</v>
      </c>
      <c r="J2" t="s">
        <v>15</v>
      </c>
      <c r="K2" t="s">
        <v>15</v>
      </c>
    </row>
    <row r="3" spans="1:11">
      <c r="A3" s="1" t="s">
        <v>11</v>
      </c>
      <c r="B3" s="1" t="s">
        <v>12</v>
      </c>
      <c r="C3" s="1" t="s">
        <v>13</v>
      </c>
      <c r="D3">
        <v>0.38066475366878355</v>
      </c>
      <c r="E3">
        <v>0.61757558994081041</v>
      </c>
      <c r="F3" s="1" t="s">
        <v>16</v>
      </c>
      <c r="G3">
        <v>834.9084906578064</v>
      </c>
      <c r="H3">
        <v>0.1778562068939209</v>
      </c>
      <c r="I3" t="s">
        <v>15</v>
      </c>
      <c r="J3" t="s">
        <v>15</v>
      </c>
      <c r="K3" t="s">
        <v>15</v>
      </c>
    </row>
    <row r="4" spans="1:11">
      <c r="A4" s="1" t="s">
        <v>11</v>
      </c>
      <c r="B4" s="1" t="s">
        <v>12</v>
      </c>
      <c r="C4" s="1" t="s">
        <v>13</v>
      </c>
      <c r="D4">
        <v>0.36992846773807819</v>
      </c>
      <c r="E4">
        <v>0.62708578245921298</v>
      </c>
      <c r="F4" s="1" t="s">
        <v>17</v>
      </c>
      <c r="G4">
        <v>845.87285494804382</v>
      </c>
      <c r="H4">
        <v>0.17790126800537109</v>
      </c>
      <c r="I4" t="s">
        <v>15</v>
      </c>
      <c r="J4" t="s">
        <v>15</v>
      </c>
      <c r="K4" t="s">
        <v>15</v>
      </c>
    </row>
    <row r="5" spans="1:11">
      <c r="A5" s="1" t="s">
        <v>11</v>
      </c>
      <c r="B5" s="1" t="s">
        <v>12</v>
      </c>
      <c r="C5" s="1" t="s">
        <v>13</v>
      </c>
      <c r="D5">
        <v>0.36251901032219191</v>
      </c>
      <c r="E5">
        <v>0.63261202917194581</v>
      </c>
      <c r="F5" s="1" t="s">
        <v>18</v>
      </c>
      <c r="G5">
        <v>965.79906868934631</v>
      </c>
      <c r="H5">
        <v>0.18931841850280762</v>
      </c>
      <c r="I5" t="s">
        <v>15</v>
      </c>
      <c r="J5" t="s">
        <v>15</v>
      </c>
      <c r="K5" t="s">
        <v>15</v>
      </c>
    </row>
    <row r="6" spans="1:11">
      <c r="A6" s="1" t="s">
        <v>11</v>
      </c>
      <c r="B6" s="1" t="s">
        <v>12</v>
      </c>
      <c r="C6" s="1" t="s">
        <v>13</v>
      </c>
      <c r="D6">
        <v>0.35461630143266315</v>
      </c>
      <c r="E6">
        <v>0.60893125839017215</v>
      </c>
      <c r="F6" s="1" t="s">
        <v>19</v>
      </c>
      <c r="G6">
        <v>713.31575703620911</v>
      </c>
      <c r="H6">
        <v>0.18536639213562012</v>
      </c>
      <c r="I6" t="s">
        <v>15</v>
      </c>
      <c r="J6" t="s">
        <v>15</v>
      </c>
      <c r="K6" t="s">
        <v>15</v>
      </c>
    </row>
    <row r="7" spans="1:11">
      <c r="A7" s="1" t="s">
        <v>11</v>
      </c>
      <c r="B7" s="1" t="s">
        <v>12</v>
      </c>
      <c r="C7" s="1" t="s">
        <v>13</v>
      </c>
      <c r="D7">
        <v>0.38080658831082753</v>
      </c>
      <c r="E7">
        <v>0.63750372220887763</v>
      </c>
      <c r="F7" s="1" t="s">
        <v>20</v>
      </c>
      <c r="G7">
        <v>1576.5543842315674</v>
      </c>
      <c r="H7">
        <v>0.18582916259765625</v>
      </c>
      <c r="I7" t="s">
        <v>15</v>
      </c>
      <c r="J7" t="s">
        <v>15</v>
      </c>
      <c r="K7" t="s">
        <v>15</v>
      </c>
    </row>
    <row r="8" spans="1:11">
      <c r="A8" s="1" t="s">
        <v>11</v>
      </c>
      <c r="B8" s="1" t="s">
        <v>12</v>
      </c>
      <c r="C8" s="1" t="s">
        <v>13</v>
      </c>
      <c r="D8">
        <v>0.35053054815933837</v>
      </c>
      <c r="E8">
        <v>0.61061885342626565</v>
      </c>
      <c r="F8" s="1" t="s">
        <v>21</v>
      </c>
      <c r="G8">
        <v>970.81034970283508</v>
      </c>
      <c r="H8">
        <v>0.19074296951293945</v>
      </c>
      <c r="I8" t="s">
        <v>15</v>
      </c>
      <c r="J8" t="s">
        <v>15</v>
      </c>
      <c r="K8" t="s">
        <v>15</v>
      </c>
    </row>
    <row r="9" spans="1:11">
      <c r="A9" s="1" t="s">
        <v>11</v>
      </c>
      <c r="B9" s="1" t="s">
        <v>12</v>
      </c>
      <c r="C9" s="1" t="s">
        <v>13</v>
      </c>
      <c r="D9">
        <v>0.35607883169774002</v>
      </c>
      <c r="E9">
        <v>0.60600393679424591</v>
      </c>
      <c r="F9" s="1" t="s">
        <v>22</v>
      </c>
      <c r="G9">
        <v>731.07252073287964</v>
      </c>
      <c r="H9">
        <v>0.17973542213439941</v>
      </c>
      <c r="I9" t="s">
        <v>15</v>
      </c>
      <c r="J9" t="s">
        <v>15</v>
      </c>
      <c r="K9" t="s">
        <v>15</v>
      </c>
    </row>
    <row r="10" spans="1:11">
      <c r="A10" s="1"/>
      <c r="B10" s="1"/>
      <c r="C10" s="1"/>
      <c r="D10">
        <f>SUBTOTAL(101,d12_[mae])</f>
        <v>0.37419651972537749</v>
      </c>
      <c r="E10">
        <f>SUBTOTAL(101,d12_[rmse])</f>
        <v>0.62323985553530192</v>
      </c>
      <c r="G10">
        <f>SUBTOTAL(101,d12_[fit_time])</f>
        <v>979.39733856916428</v>
      </c>
      <c r="H10">
        <f>SUBTOTAL(101,d12_[inference_time])</f>
        <v>0.1880931556224823</v>
      </c>
    </row>
  </sheetData>
  <phoneticPr fontId="1" type="noConversion"/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E1D8A3A-5BD2-448E-AE0C-564E9D2207FD}">
  <dimension ref="A1:K10"/>
  <sheetViews>
    <sheetView workbookViewId="0">
      <selection activeCell="H10" activeCellId="3" sqref="D10 E10 G10 H10"/>
    </sheetView>
  </sheetViews>
  <sheetFormatPr defaultRowHeight="14"/>
  <cols>
    <col min="1" max="1" width="14" bestFit="1" customWidth="1"/>
    <col min="2" max="2" width="11.9140625" customWidth="1"/>
    <col min="3" max="3" width="12.58203125" customWidth="1"/>
    <col min="4" max="5" width="12.33203125" bestFit="1" customWidth="1"/>
    <col min="6" max="6" width="11.25" bestFit="1" customWidth="1"/>
    <col min="7" max="7" width="12.33203125" bestFit="1" customWidth="1"/>
    <col min="8" max="8" width="15.83203125" bestFit="1" customWidth="1"/>
    <col min="9" max="9" width="12.58203125" bestFit="1" customWidth="1"/>
    <col min="10" max="10" width="15.6640625" bestFit="1" customWidth="1"/>
    <col min="11" max="11" width="10" bestFit="1" customWidth="1"/>
  </cols>
  <sheetData>
    <row r="1" spans="1:1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>
      <c r="A2" s="1" t="s">
        <v>11</v>
      </c>
      <c r="B2" s="1" t="s">
        <v>23</v>
      </c>
      <c r="C2" s="1" t="s">
        <v>24</v>
      </c>
      <c r="D2">
        <v>0.43417978643111887</v>
      </c>
      <c r="E2">
        <v>0.72877867688886466</v>
      </c>
      <c r="F2" s="1" t="s">
        <v>14</v>
      </c>
      <c r="G2">
        <v>1159.7246377468109</v>
      </c>
      <c r="H2">
        <v>0.26121139526367188</v>
      </c>
      <c r="I2" t="s">
        <v>15</v>
      </c>
      <c r="J2" t="s">
        <v>15</v>
      </c>
      <c r="K2" t="s">
        <v>15</v>
      </c>
    </row>
    <row r="3" spans="1:11">
      <c r="A3" s="1" t="s">
        <v>11</v>
      </c>
      <c r="B3" s="1" t="s">
        <v>23</v>
      </c>
      <c r="C3" s="1" t="s">
        <v>24</v>
      </c>
      <c r="D3">
        <v>0.33532342564814072</v>
      </c>
      <c r="E3">
        <v>0.54603874820710319</v>
      </c>
      <c r="F3" s="1" t="s">
        <v>16</v>
      </c>
      <c r="G3">
        <v>923.64264321327209</v>
      </c>
      <c r="H3">
        <v>0.18734335899353027</v>
      </c>
      <c r="I3" t="s">
        <v>15</v>
      </c>
      <c r="J3" t="s">
        <v>15</v>
      </c>
      <c r="K3" t="s">
        <v>15</v>
      </c>
    </row>
    <row r="4" spans="1:11">
      <c r="A4" s="1" t="s">
        <v>11</v>
      </c>
      <c r="B4" s="1" t="s">
        <v>23</v>
      </c>
      <c r="C4" s="1" t="s">
        <v>24</v>
      </c>
      <c r="D4">
        <v>0.35591006395563501</v>
      </c>
      <c r="E4">
        <v>0.57843890817403387</v>
      </c>
      <c r="F4" s="1" t="s">
        <v>17</v>
      </c>
      <c r="G4">
        <v>1028.9549560546875</v>
      </c>
      <c r="H4">
        <v>0.20851421356201172</v>
      </c>
      <c r="I4" t="s">
        <v>15</v>
      </c>
      <c r="J4" t="s">
        <v>15</v>
      </c>
      <c r="K4" t="s">
        <v>15</v>
      </c>
    </row>
    <row r="5" spans="1:11">
      <c r="A5" s="1" t="s">
        <v>11</v>
      </c>
      <c r="B5" s="1" t="s">
        <v>23</v>
      </c>
      <c r="C5" s="1" t="s">
        <v>24</v>
      </c>
      <c r="D5">
        <v>0.3152367989469585</v>
      </c>
      <c r="E5">
        <v>0.56011718823804424</v>
      </c>
      <c r="F5" s="1" t="s">
        <v>18</v>
      </c>
      <c r="G5">
        <v>1036.1251430511475</v>
      </c>
      <c r="H5">
        <v>0.23129439353942871</v>
      </c>
      <c r="I5" t="s">
        <v>15</v>
      </c>
      <c r="J5" t="s">
        <v>15</v>
      </c>
      <c r="K5" t="s">
        <v>15</v>
      </c>
    </row>
    <row r="6" spans="1:11">
      <c r="A6" s="1" t="s">
        <v>11</v>
      </c>
      <c r="B6" s="1" t="s">
        <v>23</v>
      </c>
      <c r="C6" s="1" t="s">
        <v>24</v>
      </c>
      <c r="D6">
        <v>0.314061558380483</v>
      </c>
      <c r="E6">
        <v>0.5664665259260645</v>
      </c>
      <c r="F6" s="1" t="s">
        <v>19</v>
      </c>
      <c r="G6">
        <v>1163.0022149085999</v>
      </c>
      <c r="H6">
        <v>0.22037172317504883</v>
      </c>
      <c r="I6" t="s">
        <v>15</v>
      </c>
      <c r="J6" t="s">
        <v>15</v>
      </c>
      <c r="K6" t="s">
        <v>15</v>
      </c>
    </row>
    <row r="7" spans="1:11">
      <c r="A7" s="1" t="s">
        <v>11</v>
      </c>
      <c r="B7" s="1" t="s">
        <v>23</v>
      </c>
      <c r="C7" s="1" t="s">
        <v>24</v>
      </c>
      <c r="D7">
        <v>0.33819491411737262</v>
      </c>
      <c r="E7">
        <v>0.61791375526649672</v>
      </c>
      <c r="F7" s="1" t="s">
        <v>20</v>
      </c>
      <c r="G7">
        <v>1029.1786282062531</v>
      </c>
      <c r="H7">
        <v>0.24086809158325195</v>
      </c>
      <c r="I7" t="s">
        <v>15</v>
      </c>
      <c r="J7" t="s">
        <v>15</v>
      </c>
      <c r="K7" t="s">
        <v>15</v>
      </c>
    </row>
    <row r="8" spans="1:11">
      <c r="A8" s="1" t="s">
        <v>11</v>
      </c>
      <c r="B8" s="1" t="s">
        <v>23</v>
      </c>
      <c r="C8" s="1" t="s">
        <v>24</v>
      </c>
      <c r="D8">
        <v>0.33774080505240317</v>
      </c>
      <c r="E8">
        <v>0.59230284854106474</v>
      </c>
      <c r="F8" s="1" t="s">
        <v>21</v>
      </c>
      <c r="G8">
        <v>1412.82554936409</v>
      </c>
      <c r="H8">
        <v>0.2291264533996582</v>
      </c>
      <c r="I8" t="s">
        <v>15</v>
      </c>
      <c r="J8" t="s">
        <v>15</v>
      </c>
      <c r="K8" t="s">
        <v>15</v>
      </c>
    </row>
    <row r="9" spans="1:11">
      <c r="A9" s="1" t="s">
        <v>11</v>
      </c>
      <c r="B9" s="1" t="s">
        <v>23</v>
      </c>
      <c r="C9" s="1" t="s">
        <v>24</v>
      </c>
      <c r="D9">
        <v>0.32190694936456504</v>
      </c>
      <c r="E9">
        <v>0.55675554671194805</v>
      </c>
      <c r="F9" s="1" t="s">
        <v>22</v>
      </c>
      <c r="G9">
        <v>1146.8886756896973</v>
      </c>
      <c r="H9">
        <v>0.19712424278259277</v>
      </c>
      <c r="I9" t="s">
        <v>15</v>
      </c>
      <c r="J9" t="s">
        <v>15</v>
      </c>
      <c r="K9" t="s">
        <v>15</v>
      </c>
    </row>
    <row r="10" spans="1:11">
      <c r="A10" s="1"/>
      <c r="B10" s="1"/>
      <c r="C10" s="1"/>
      <c r="D10">
        <f>SUBTOTAL(101,d24_[mae])</f>
        <v>0.34406928773708456</v>
      </c>
      <c r="E10">
        <f>SUBTOTAL(101,d24_[rmse])</f>
        <v>0.5933515247442025</v>
      </c>
      <c r="G10">
        <f>SUBTOTAL(101,d24_[fit_time])</f>
        <v>1112.5428060293198</v>
      </c>
      <c r="H10">
        <f>SUBTOTAL(101,d24_[inference_time])</f>
        <v>0.22198173403739929</v>
      </c>
    </row>
  </sheetData>
  <phoneticPr fontId="1" type="noConversion"/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CA7DC0-AEB3-4681-BEAA-0BB6F7359F1E}">
  <dimension ref="A1:K10"/>
  <sheetViews>
    <sheetView workbookViewId="0">
      <selection activeCell="H10" activeCellId="3" sqref="D10 E10 G10 H10"/>
    </sheetView>
  </sheetViews>
  <sheetFormatPr defaultRowHeight="14"/>
  <cols>
    <col min="1" max="1" width="14" bestFit="1" customWidth="1"/>
    <col min="2" max="2" width="12.1640625" customWidth="1"/>
    <col min="3" max="3" width="12.83203125" customWidth="1"/>
    <col min="4" max="5" width="12.33203125" bestFit="1" customWidth="1"/>
    <col min="6" max="6" width="11.25" bestFit="1" customWidth="1"/>
    <col min="7" max="7" width="12.33203125" bestFit="1" customWidth="1"/>
    <col min="8" max="8" width="15.83203125" bestFit="1" customWidth="1"/>
    <col min="9" max="9" width="12.58203125" bestFit="1" customWidth="1"/>
    <col min="10" max="10" width="15.6640625" bestFit="1" customWidth="1"/>
    <col min="11" max="11" width="10" bestFit="1" customWidth="1"/>
  </cols>
  <sheetData>
    <row r="1" spans="1:1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>
      <c r="A2" s="1" t="s">
        <v>11</v>
      </c>
      <c r="B2" s="1" t="s">
        <v>25</v>
      </c>
      <c r="C2" s="1" t="s">
        <v>26</v>
      </c>
      <c r="D2">
        <v>0.37175294747282922</v>
      </c>
      <c r="E2">
        <v>0.60256662941217221</v>
      </c>
      <c r="F2" s="1" t="s">
        <v>14</v>
      </c>
      <c r="G2">
        <v>1532.8992614746094</v>
      </c>
      <c r="H2">
        <v>0.26686644554138184</v>
      </c>
      <c r="I2" t="s">
        <v>15</v>
      </c>
      <c r="J2" t="s">
        <v>15</v>
      </c>
      <c r="K2" t="s">
        <v>15</v>
      </c>
    </row>
    <row r="3" spans="1:11">
      <c r="A3" s="1" t="s">
        <v>11</v>
      </c>
      <c r="B3" s="1" t="s">
        <v>25</v>
      </c>
      <c r="C3" s="1" t="s">
        <v>26</v>
      </c>
      <c r="D3">
        <v>0.34837981710538235</v>
      </c>
      <c r="E3">
        <v>0.54100661646326631</v>
      </c>
      <c r="F3" s="1" t="s">
        <v>16</v>
      </c>
      <c r="G3">
        <v>1077.0586490631104</v>
      </c>
      <c r="H3">
        <v>0.29817438125610352</v>
      </c>
      <c r="I3" t="s">
        <v>15</v>
      </c>
      <c r="J3" t="s">
        <v>15</v>
      </c>
      <c r="K3" t="s">
        <v>15</v>
      </c>
    </row>
    <row r="4" spans="1:11">
      <c r="A4" s="1" t="s">
        <v>11</v>
      </c>
      <c r="B4" s="1" t="s">
        <v>25</v>
      </c>
      <c r="C4" s="1" t="s">
        <v>26</v>
      </c>
      <c r="D4">
        <v>0.31717475628568675</v>
      </c>
      <c r="E4">
        <v>0.55706610491904762</v>
      </c>
      <c r="F4" s="1" t="s">
        <v>17</v>
      </c>
      <c r="G4">
        <v>1843.7753131389618</v>
      </c>
      <c r="H4">
        <v>0.31224393844604492</v>
      </c>
      <c r="I4" t="s">
        <v>15</v>
      </c>
      <c r="J4" t="s">
        <v>15</v>
      </c>
      <c r="K4" t="s">
        <v>15</v>
      </c>
    </row>
    <row r="5" spans="1:11">
      <c r="A5" s="1" t="s">
        <v>11</v>
      </c>
      <c r="B5" s="1" t="s">
        <v>25</v>
      </c>
      <c r="C5" s="1" t="s">
        <v>26</v>
      </c>
      <c r="D5">
        <v>0.41565494002902681</v>
      </c>
      <c r="E5">
        <v>0.70551220587803687</v>
      </c>
      <c r="F5" s="1" t="s">
        <v>18</v>
      </c>
      <c r="G5">
        <v>1080.5835108757019</v>
      </c>
      <c r="H5">
        <v>0.28790760040283203</v>
      </c>
      <c r="I5" t="s">
        <v>15</v>
      </c>
      <c r="J5" t="s">
        <v>15</v>
      </c>
      <c r="K5" t="s">
        <v>15</v>
      </c>
    </row>
    <row r="6" spans="1:11">
      <c r="A6" s="1" t="s">
        <v>11</v>
      </c>
      <c r="B6" s="1" t="s">
        <v>25</v>
      </c>
      <c r="C6" s="1" t="s">
        <v>26</v>
      </c>
      <c r="D6">
        <v>0.28817613942897213</v>
      </c>
      <c r="E6">
        <v>0.52234791058702701</v>
      </c>
      <c r="F6" s="1" t="s">
        <v>19</v>
      </c>
      <c r="G6">
        <v>1380.9187548160553</v>
      </c>
      <c r="H6">
        <v>0.28223299980163574</v>
      </c>
      <c r="I6" t="s">
        <v>15</v>
      </c>
      <c r="J6" t="s">
        <v>15</v>
      </c>
      <c r="K6" t="s">
        <v>15</v>
      </c>
    </row>
    <row r="7" spans="1:11">
      <c r="A7" s="1" t="s">
        <v>11</v>
      </c>
      <c r="B7" s="1" t="s">
        <v>25</v>
      </c>
      <c r="C7" s="1" t="s">
        <v>26</v>
      </c>
      <c r="D7">
        <v>0.33527514544474579</v>
      </c>
      <c r="E7">
        <v>0.59779168927720572</v>
      </c>
      <c r="F7" s="1" t="s">
        <v>20</v>
      </c>
      <c r="G7">
        <v>1233.2848889827728</v>
      </c>
      <c r="H7">
        <v>0.29636859893798828</v>
      </c>
      <c r="I7" t="s">
        <v>15</v>
      </c>
      <c r="J7" t="s">
        <v>15</v>
      </c>
      <c r="K7" t="s">
        <v>15</v>
      </c>
    </row>
    <row r="8" spans="1:11">
      <c r="A8" s="1" t="s">
        <v>11</v>
      </c>
      <c r="B8" s="1" t="s">
        <v>25</v>
      </c>
      <c r="C8" s="1" t="s">
        <v>26</v>
      </c>
      <c r="D8">
        <v>0.30443612459210212</v>
      </c>
      <c r="E8">
        <v>0.54946523514535672</v>
      </c>
      <c r="F8" s="1" t="s">
        <v>21</v>
      </c>
      <c r="G8">
        <v>1688.9438805580139</v>
      </c>
      <c r="H8">
        <v>0.2753303050994873</v>
      </c>
      <c r="I8" t="s">
        <v>15</v>
      </c>
      <c r="J8" t="s">
        <v>15</v>
      </c>
      <c r="K8" t="s">
        <v>15</v>
      </c>
    </row>
    <row r="9" spans="1:11">
      <c r="A9" s="1" t="s">
        <v>11</v>
      </c>
      <c r="B9" s="1" t="s">
        <v>25</v>
      </c>
      <c r="C9" s="1" t="s">
        <v>26</v>
      </c>
      <c r="D9">
        <v>0.30061011938630605</v>
      </c>
      <c r="E9">
        <v>0.51596872340756184</v>
      </c>
      <c r="F9" s="1" t="s">
        <v>22</v>
      </c>
      <c r="G9">
        <v>1075.8956310749054</v>
      </c>
      <c r="H9">
        <v>0.30304408073425293</v>
      </c>
      <c r="I9" t="s">
        <v>15</v>
      </c>
      <c r="J9" t="s">
        <v>15</v>
      </c>
      <c r="K9" t="s">
        <v>15</v>
      </c>
    </row>
    <row r="10" spans="1:11">
      <c r="A10" s="1"/>
      <c r="B10" s="1"/>
      <c r="C10" s="1"/>
      <c r="D10">
        <f>SUBTOTAL(101,d36_[mae])</f>
        <v>0.33518249871813144</v>
      </c>
      <c r="E10">
        <f>SUBTOTAL(101,d36_[rmse])</f>
        <v>0.57396563938620937</v>
      </c>
      <c r="G10">
        <f>SUBTOTAL(101,d36_[fit_time])</f>
        <v>1364.1699862480164</v>
      </c>
      <c r="H10">
        <f>SUBTOTAL(101,d36_[inference_time])</f>
        <v>0.29027104377746582</v>
      </c>
    </row>
  </sheetData>
  <phoneticPr fontId="1" type="noConversion"/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0D0984-6F9C-4FA2-88F5-F499E47EAE77}">
  <dimension ref="A1:K10"/>
  <sheetViews>
    <sheetView workbookViewId="0">
      <selection activeCell="H10" activeCellId="3" sqref="D10 E10 G10 H10"/>
    </sheetView>
  </sheetViews>
  <sheetFormatPr defaultRowHeight="14"/>
  <cols>
    <col min="1" max="1" width="14" bestFit="1" customWidth="1"/>
    <col min="2" max="2" width="11.83203125" customWidth="1"/>
    <col min="3" max="3" width="12.25" customWidth="1"/>
    <col min="4" max="5" width="12.33203125" bestFit="1" customWidth="1"/>
    <col min="6" max="6" width="11.25" bestFit="1" customWidth="1"/>
    <col min="7" max="7" width="12.33203125" bestFit="1" customWidth="1"/>
    <col min="8" max="8" width="15.83203125" bestFit="1" customWidth="1"/>
    <col min="9" max="9" width="12.58203125" bestFit="1" customWidth="1"/>
    <col min="10" max="10" width="15.6640625" bestFit="1" customWidth="1"/>
    <col min="11" max="11" width="10" bestFit="1" customWidth="1"/>
  </cols>
  <sheetData>
    <row r="1" spans="1:1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>
      <c r="A2" s="1" t="s">
        <v>11</v>
      </c>
      <c r="B2" s="1" t="s">
        <v>27</v>
      </c>
      <c r="C2" s="1" t="s">
        <v>28</v>
      </c>
      <c r="D2">
        <v>0.39571243850887561</v>
      </c>
      <c r="E2">
        <v>0.62838536198670392</v>
      </c>
      <c r="F2" s="1" t="s">
        <v>14</v>
      </c>
      <c r="G2">
        <v>1489.1707091331482</v>
      </c>
      <c r="H2">
        <v>0.41369962692260742</v>
      </c>
      <c r="I2" t="s">
        <v>15</v>
      </c>
      <c r="J2" t="s">
        <v>15</v>
      </c>
      <c r="K2" t="s">
        <v>15</v>
      </c>
    </row>
    <row r="3" spans="1:11">
      <c r="A3" s="1" t="s">
        <v>11</v>
      </c>
      <c r="B3" s="1" t="s">
        <v>27</v>
      </c>
      <c r="C3" s="1" t="s">
        <v>28</v>
      </c>
      <c r="D3">
        <v>0.34894402534239988</v>
      </c>
      <c r="E3">
        <v>0.59478529573600303</v>
      </c>
      <c r="F3" s="1" t="s">
        <v>16</v>
      </c>
      <c r="G3">
        <v>1293.1859996318817</v>
      </c>
      <c r="H3">
        <v>0.33933162689208984</v>
      </c>
      <c r="I3" t="s">
        <v>15</v>
      </c>
      <c r="J3" t="s">
        <v>15</v>
      </c>
      <c r="K3" t="s">
        <v>15</v>
      </c>
    </row>
    <row r="4" spans="1:11">
      <c r="A4" s="1" t="s">
        <v>11</v>
      </c>
      <c r="B4" s="1" t="s">
        <v>27</v>
      </c>
      <c r="C4" s="1" t="s">
        <v>28</v>
      </c>
      <c r="D4">
        <v>0.35510605123103711</v>
      </c>
      <c r="E4">
        <v>0.60665777880641192</v>
      </c>
      <c r="F4" s="1" t="s">
        <v>17</v>
      </c>
      <c r="G4">
        <v>1111.87149477005</v>
      </c>
      <c r="H4">
        <v>0.36071038246154785</v>
      </c>
      <c r="I4" t="s">
        <v>15</v>
      </c>
      <c r="J4" t="s">
        <v>15</v>
      </c>
      <c r="K4" t="s">
        <v>15</v>
      </c>
    </row>
    <row r="5" spans="1:11">
      <c r="A5" s="1" t="s">
        <v>11</v>
      </c>
      <c r="B5" s="1" t="s">
        <v>27</v>
      </c>
      <c r="C5" s="1" t="s">
        <v>28</v>
      </c>
      <c r="D5">
        <v>0.33056296995268009</v>
      </c>
      <c r="E5">
        <v>0.5853476010139449</v>
      </c>
      <c r="F5" s="1" t="s">
        <v>18</v>
      </c>
      <c r="G5">
        <v>1674.1307883262634</v>
      </c>
      <c r="H5">
        <v>0.38437724113464355</v>
      </c>
      <c r="I5" t="s">
        <v>15</v>
      </c>
      <c r="J5" t="s">
        <v>15</v>
      </c>
      <c r="K5" t="s">
        <v>15</v>
      </c>
    </row>
    <row r="6" spans="1:11">
      <c r="A6" s="1" t="s">
        <v>11</v>
      </c>
      <c r="B6" s="1" t="s">
        <v>27</v>
      </c>
      <c r="C6" s="1" t="s">
        <v>28</v>
      </c>
      <c r="D6">
        <v>0.31289833803818662</v>
      </c>
      <c r="E6">
        <v>0.56983498019313295</v>
      </c>
      <c r="F6" s="1" t="s">
        <v>19</v>
      </c>
      <c r="G6">
        <v>1473.3694081306458</v>
      </c>
      <c r="H6">
        <v>0.39307522773742676</v>
      </c>
      <c r="I6" t="s">
        <v>15</v>
      </c>
      <c r="J6" t="s">
        <v>15</v>
      </c>
      <c r="K6" t="s">
        <v>15</v>
      </c>
    </row>
    <row r="7" spans="1:11">
      <c r="A7" s="1" t="s">
        <v>11</v>
      </c>
      <c r="B7" s="1" t="s">
        <v>27</v>
      </c>
      <c r="C7" s="1" t="s">
        <v>28</v>
      </c>
      <c r="D7">
        <v>0.35730592688181084</v>
      </c>
      <c r="E7">
        <v>0.6089001847554828</v>
      </c>
      <c r="F7" s="1" t="s">
        <v>20</v>
      </c>
      <c r="G7">
        <v>1296.4113023281097</v>
      </c>
      <c r="H7">
        <v>0.41156291961669922</v>
      </c>
      <c r="I7" t="s">
        <v>15</v>
      </c>
      <c r="J7" t="s">
        <v>15</v>
      </c>
      <c r="K7" t="s">
        <v>15</v>
      </c>
    </row>
    <row r="8" spans="1:11">
      <c r="A8" s="1" t="s">
        <v>11</v>
      </c>
      <c r="B8" s="1" t="s">
        <v>27</v>
      </c>
      <c r="C8" s="1" t="s">
        <v>28</v>
      </c>
      <c r="D8">
        <v>0.30909923391281446</v>
      </c>
      <c r="E8">
        <v>0.57278426888163392</v>
      </c>
      <c r="F8" s="1" t="s">
        <v>21</v>
      </c>
      <c r="G8">
        <v>1491.3990204334259</v>
      </c>
      <c r="H8">
        <v>0.44758462905883789</v>
      </c>
      <c r="I8" t="s">
        <v>15</v>
      </c>
      <c r="J8" t="s">
        <v>15</v>
      </c>
      <c r="K8" t="s">
        <v>15</v>
      </c>
    </row>
    <row r="9" spans="1:11">
      <c r="A9" s="1" t="s">
        <v>11</v>
      </c>
      <c r="B9" s="1" t="s">
        <v>27</v>
      </c>
      <c r="C9" s="1" t="s">
        <v>28</v>
      </c>
      <c r="D9">
        <v>0.34451043424061667</v>
      </c>
      <c r="E9">
        <v>0.59333979417881744</v>
      </c>
      <c r="F9" s="1" t="s">
        <v>22</v>
      </c>
      <c r="G9">
        <v>2024.0623676776886</v>
      </c>
      <c r="H9">
        <v>0.39449048042297363</v>
      </c>
      <c r="I9" t="s">
        <v>15</v>
      </c>
      <c r="J9" t="s">
        <v>15</v>
      </c>
      <c r="K9" t="s">
        <v>15</v>
      </c>
    </row>
    <row r="10" spans="1:11">
      <c r="A10" s="1"/>
      <c r="B10" s="1"/>
      <c r="C10" s="1"/>
      <c r="D10">
        <f>SUBTOTAL(101,d48_[mae])</f>
        <v>0.34426742726355264</v>
      </c>
      <c r="E10">
        <f>SUBTOTAL(101,d48_[rmse])</f>
        <v>0.59500440819401634</v>
      </c>
      <c r="G10">
        <f>SUBTOTAL(101,d48_[fit_time])</f>
        <v>1481.7001363039017</v>
      </c>
      <c r="H10">
        <f>SUBTOTAL(101,d48_[inference_time])</f>
        <v>0.39310401678085327</v>
      </c>
    </row>
  </sheetData>
  <phoneticPr fontId="1" type="noConversion"/>
  <pageMargins left="0.7" right="0.7" top="0.75" bottom="0.75" header="0.3" footer="0.3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38"/>
  <sheetViews>
    <sheetView tabSelected="1" workbookViewId="0">
      <selection activeCell="G7" sqref="G7"/>
    </sheetView>
  </sheetViews>
  <sheetFormatPr defaultRowHeight="14"/>
  <cols>
    <col min="1" max="16384" width="8.6640625" style="3"/>
  </cols>
  <sheetData>
    <row r="1" spans="1:6" ht="14.5" thickBot="1">
      <c r="A1" s="3" t="s">
        <v>0</v>
      </c>
      <c r="B1" s="3" t="s">
        <v>29</v>
      </c>
      <c r="C1" s="3" t="s">
        <v>3</v>
      </c>
      <c r="D1" s="3" t="s">
        <v>4</v>
      </c>
      <c r="E1" s="3" t="s">
        <v>6</v>
      </c>
      <c r="F1" s="3" t="s">
        <v>7</v>
      </c>
    </row>
    <row r="2" spans="1:6" ht="15" thickTop="1" thickBot="1">
      <c r="A2" s="4" t="s">
        <v>11</v>
      </c>
      <c r="B2" s="3" t="s">
        <v>30</v>
      </c>
      <c r="C2" s="2">
        <v>0.37419651972537749</v>
      </c>
      <c r="D2" s="2">
        <v>0.62323985553530192</v>
      </c>
      <c r="E2" s="2">
        <v>979.39733856916428</v>
      </c>
      <c r="F2" s="2">
        <v>0.1880931556224823</v>
      </c>
    </row>
    <row r="3" spans="1:6" ht="15" thickTop="1" thickBot="1">
      <c r="A3" s="4" t="s">
        <v>11</v>
      </c>
      <c r="B3" s="3" t="s">
        <v>31</v>
      </c>
      <c r="C3" s="2">
        <v>0.34406928773708456</v>
      </c>
      <c r="D3" s="2">
        <v>0.5933515247442025</v>
      </c>
      <c r="E3" s="2">
        <v>1112.5428060293198</v>
      </c>
      <c r="F3" s="2">
        <v>0.22198173403739929</v>
      </c>
    </row>
    <row r="4" spans="1:6" ht="15" thickTop="1" thickBot="1">
      <c r="A4" s="4" t="s">
        <v>11</v>
      </c>
      <c r="B4" s="3" t="s">
        <v>32</v>
      </c>
      <c r="C4" s="2">
        <v>0.33518249871813144</v>
      </c>
      <c r="D4" s="2">
        <v>0.57396563938620937</v>
      </c>
      <c r="E4" s="2">
        <v>1364.1699862480164</v>
      </c>
      <c r="F4" s="2">
        <v>0.29027104377746582</v>
      </c>
    </row>
    <row r="5" spans="1:6" ht="14.5" thickTop="1">
      <c r="A5" s="4" t="s">
        <v>11</v>
      </c>
      <c r="B5" s="3" t="s">
        <v>33</v>
      </c>
      <c r="C5" s="2">
        <v>0.34426742726355264</v>
      </c>
      <c r="D5" s="2">
        <v>0.59500440819401634</v>
      </c>
      <c r="E5" s="2">
        <v>1481.7001363039017</v>
      </c>
      <c r="F5" s="2">
        <v>0.39310401678085327</v>
      </c>
    </row>
    <row r="6" spans="1:6">
      <c r="A6" s="4" t="s">
        <v>11</v>
      </c>
      <c r="B6" s="3" t="s">
        <v>34</v>
      </c>
      <c r="C6" s="3">
        <f>AVERAGE(C2:C5)</f>
        <v>0.34942893336103653</v>
      </c>
      <c r="D6" s="3">
        <f t="shared" ref="D6:F6" si="0">AVERAGE(D2:D5)</f>
        <v>0.59639035696493259</v>
      </c>
      <c r="E6" s="3">
        <f t="shared" si="0"/>
        <v>1234.4525667876005</v>
      </c>
      <c r="F6" s="3">
        <f t="shared" si="0"/>
        <v>0.27336248755455017</v>
      </c>
    </row>
    <row r="17" s="3" customFormat="1"/>
    <row r="18" s="3" customFormat="1"/>
    <row r="19" s="3" customFormat="1"/>
    <row r="20" s="3" customFormat="1"/>
    <row r="21" s="3" customFormat="1"/>
    <row r="22" s="3" customFormat="1"/>
    <row r="23" s="3" customFormat="1"/>
    <row r="24" s="3" customFormat="1"/>
    <row r="25" s="3" customFormat="1"/>
    <row r="26" s="3" customFormat="1"/>
    <row r="27" s="3" customFormat="1"/>
    <row r="28" s="3" customFormat="1"/>
    <row r="29" s="3" customFormat="1"/>
    <row r="30" s="3" customFormat="1"/>
    <row r="31" s="3" customFormat="1"/>
    <row r="32" s="3" customFormat="1"/>
    <row r="33" s="3" customFormat="1"/>
    <row r="34" s="3" customFormat="1"/>
    <row r="35" s="3" customFormat="1"/>
    <row r="36" s="3" customFormat="1"/>
    <row r="37" s="3" customFormat="1"/>
    <row r="38" s="3" customFormat="1"/>
  </sheetData>
  <phoneticPr fontId="1" type="noConversion"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8B34B6EC-EA99-48C6-8012-68FBB3198F1B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d12</vt:lpstr>
      <vt:lpstr>d24</vt:lpstr>
      <vt:lpstr>d36</vt:lpstr>
      <vt:lpstr>d48</vt:lpstr>
      <vt:lpstr>overall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steven chen</dc:creator>
  <cp:lastModifiedBy>steven chen</cp:lastModifiedBy>
  <dcterms:created xsi:type="dcterms:W3CDTF">2015-06-05T18:17:20Z</dcterms:created>
  <dcterms:modified xsi:type="dcterms:W3CDTF">2026-07-14T06:10:51Z</dcterms:modified>
</cp:coreProperties>
</file>