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en\Desktop\GitHub\TFB\results\UniST\"/>
    </mc:Choice>
  </mc:AlternateContent>
  <xr:revisionPtr revIDLastSave="0" documentId="13_ncr:1_{56D64F54-2E6C-498B-BF88-7241FC26A45C}" xr6:coauthVersionLast="47" xr6:coauthVersionMax="47" xr10:uidLastSave="{00000000-0000-0000-0000-000000000000}"/>
  <bookViews>
    <workbookView xWindow="13350" yWindow="3490" windowWidth="21790" windowHeight="15370" activeTab="4" xr2:uid="{00000000-000D-0000-FFFF-FFFF00000000}"/>
  </bookViews>
  <sheets>
    <sheet name="d12" sheetId="2" r:id="rId1"/>
    <sheet name="d24" sheetId="3" r:id="rId2"/>
    <sheet name="d36" sheetId="4" r:id="rId3"/>
    <sheet name="d48" sheetId="5" r:id="rId4"/>
    <sheet name="Sheet1" sheetId="1" r:id="rId5"/>
  </sheets>
  <definedNames>
    <definedName name="ExternalData_1" localSheetId="0" hidden="1">'d12'!$A$1:$K$9</definedName>
    <definedName name="ExternalData_2" localSheetId="1" hidden="1">'d24'!$A$1:$K$9</definedName>
    <definedName name="ExternalData_3" localSheetId="2" hidden="1">'d36'!$A$1:$K$9</definedName>
    <definedName name="ExternalData_4" localSheetId="3" hidden="1">'d48'!$A$1:$K$9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E6" i="1"/>
  <c r="F6" i="1"/>
  <c r="C6" i="1"/>
  <c r="E10" i="5"/>
  <c r="G10" i="5"/>
  <c r="H10" i="5"/>
  <c r="D10" i="5"/>
  <c r="H10" i="4"/>
  <c r="E10" i="4"/>
  <c r="G10" i="4"/>
  <c r="D10" i="4"/>
  <c r="E10" i="2"/>
  <c r="G10" i="2"/>
  <c r="H10" i="2"/>
  <c r="D10" i="2"/>
  <c r="E10" i="3"/>
  <c r="G10" i="3"/>
  <c r="H10" i="3"/>
  <c r="D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372AFD-C0AF-425F-B37A-542C62FD88D0}" keepAlive="1" name="Query - d12" description="Connection to the 'd12' query in the workbook." type="5" refreshedVersion="8" background="1" saveData="1">
    <dbPr connection="Provider=Microsoft.Mashup.OleDb.1;Data Source=$Workbook$;Location=d12;Extended Properties=&quot;&quot;" command="SELECT * FROM [d12]"/>
  </connection>
  <connection id="2" xr16:uid="{94279DEF-1B7B-4CCF-A59E-448F234FFA21}" keepAlive="1" name="Query - d24" description="Connection to the 'd24' query in the workbook." type="5" refreshedVersion="8" background="1" saveData="1">
    <dbPr connection="Provider=Microsoft.Mashup.OleDb.1;Data Source=$Workbook$;Location=d24;Extended Properties=&quot;&quot;" command="SELECT * FROM [d24]"/>
  </connection>
  <connection id="3" xr16:uid="{74FDD97D-FF0B-441E-9EA7-04AD61BE15D5}" keepAlive="1" name="Query - d36" description="Connection to the 'd36' query in the workbook." type="5" refreshedVersion="8" background="1" saveData="1">
    <dbPr connection="Provider=Microsoft.Mashup.OleDb.1;Data Source=$Workbook$;Location=d36;Extended Properties=&quot;&quot;" command="SELECT * FROM [d36]"/>
  </connection>
  <connection id="4" xr16:uid="{6343FE50-BE57-4B07-8A96-3AD4E24A9C81}" keepAlive="1" name="Query - d48" description="Connection to the 'd48' query in the workbook." type="5" refreshedVersion="8" background="1" saveData="1">
    <dbPr connection="Provider=Microsoft.Mashup.OleDb.1;Data Source=$Workbook$;Location=d48;Extended Properties=&quot;&quot;" command="SELECT * FROM [d48]"/>
  </connection>
  <connection id="5" xr16:uid="{C8F4C314-3B62-44FF-9099-926EDEEB979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9D22DA97-323E-4278-8B57-A6B1F86D5AC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1AC7E5BC-8CCC-401C-907D-DBD9B8EDCD5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55CF43C3-C246-40F8-947D-A180F68346C1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9" xr16:uid="{851F2005-8129-46BA-9B5F-C10C44E361D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9D96AAC2-127A-4FCF-B786-633664D1F12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5CF6D26F-2F68-414D-BBA5-A935A0C09230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2" xr16:uid="{D667E567-F23B-46AD-99EF-0FD759016A11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3" xr16:uid="{E086D612-F8BB-43F8-A5D6-FE848F68073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6F1E9CC1-1FCD-43E6-8194-01DE7DEC1931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4F41A016-F816-4179-9541-0E744504EF09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6" xr16:uid="{1E705C25-8775-435D-A6FF-E161F8DA9964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7" xr16:uid="{6F5F60C0-A29C-4CB6-A4B9-AF9F67D33E2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8" xr16:uid="{2543E30C-C18E-4487-861C-275ECF582E34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9" xr16:uid="{D89656AA-5B34-4F91-BABE-4477BF5BEB67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0" xr16:uid="{7232EC30-5DAC-4A31-AAF4-3A550065DA11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</connections>
</file>

<file path=xl/sharedStrings.xml><?xml version="1.0" encoding="utf-8"?>
<sst xmlns="http://schemas.openxmlformats.org/spreadsheetml/2006/main" count="284" uniqueCount="35">
  <si>
    <t>model_name</t>
  </si>
  <si>
    <t>strategy_args</t>
  </si>
  <si>
    <t>model_params</t>
  </si>
  <si>
    <t>mae</t>
  </si>
  <si>
    <t>rmse</t>
  </si>
  <si>
    <t>file_name</t>
  </si>
  <si>
    <t>fit_time</t>
  </si>
  <si>
    <t>inference_time</t>
  </si>
  <si>
    <t>actual_data</t>
  </si>
  <si>
    <t>inference_data</t>
  </si>
  <si>
    <t>log_info</t>
  </si>
  <si>
    <t>UniST</t>
  </si>
  <si>
    <t>{"deterministic": "efficient", "horizon": 288, "save_true_pred": false, "seed": 2026, "strategy_name": "fixed_forecast", "target_channel": null, "train_ratio_in_tv": 0.8}</t>
  </si>
  <si>
    <t>{"batch_size": 8, "hidden_dim": 64, "horizon": 288, "kernel_size": 3, "lr": 0.001, "norm": true, "num_epochs": 20, "patience": 5, "pred_len": 288, "seq_len": 576}</t>
  </si>
  <si>
    <t>event_0.csv</t>
  </si>
  <si>
    <t/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</si>
  <si>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</si>
  <si>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</si>
  <si>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</si>
  <si>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</si>
  <si>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</si>
  <si>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</si>
  <si>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</si>
  <si>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{"deterministic": "efficient", "horizon": 576, "save_true_pred": false, "seed": 2026, "strategy_name": "fixed_forecast", "target_channel": null, "train_ratio_in_tv": 0.8}</t>
  </si>
  <si>
    <t>{"batch_size": 8, "hidden_dim": 64, "horizon": 576, "kernel_size": 3, "lr": 0.001, "norm": true, "num_epochs": 20, "patience": 5, "pred_len": 576, "seq_len": 576}</t>
  </si>
  <si>
    <t>{"deterministic": "efficient", "horizon": 864, "save_true_pred": false, "seed": 2026, "strategy_name": "fixed_forecast", "target_channel": null, "train_ratio_in_tv": 0.8}</t>
  </si>
  <si>
    <t>{"batch_size": 8, "hidden_dim": 64, "horizon": 864, "kernel_size": 3, "lr": 0.001, "norm": true, "num_epochs": 20, "patience": 5, "pred_len": 864, "seq_len": 576}</t>
  </si>
  <si>
    <t>{"deterministic": "efficient", "horizon": 1152, "save_true_pred": false, "seed": 2026, "strategy_name": "fixed_forecast", "target_channel": null, "train_ratio_in_tv": 0.8}</t>
  </si>
  <si>
    <t>{"batch_size": 8, "hidden_dim": 64, "horizon": 1152, "kernel_size": 3, "lr": 0.001, "norm": true, "num_epochs": 20, "patience": 5, "pred_len": 1152, "seq_len": 576}</t>
  </si>
  <si>
    <t>horizon</t>
  </si>
  <si>
    <t>d12</t>
  </si>
  <si>
    <t>d24</t>
  </si>
  <si>
    <t>d36</t>
  </si>
  <si>
    <t>d48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</si>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</sst>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477455-CA92-4D61-949F-4454AB3B1A18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FC2800B-99D1-488E-9808-9B674ED88BED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A81CCB5-E711-432C-A8C0-E92B97E06B66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F0006E7-7098-4444-B9DE-1FA9CB802007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4D8F8-3DEA-4CD8-97AE-6C6203EB2610}" name="d12_" displayName="d12_" ref="A1:K10" tableType="queryTable" totalsRowCount="1">
  <autoFilter ref="A1:K9" xr:uid="{0034D8F8-3DEA-4CD8-97AE-6C6203EB2610}"/>
  <tableColumns count="11">
    <tableColumn id="2" xr3:uid="{3A574306-F031-463A-9CF0-455F9AD01C72}" uniqueName="2" name="model_name" queryTableFieldId="2" dataDxfId="27" totalsRowDxfId="26"/>
    <tableColumn id="3" xr3:uid="{A471B4AB-E286-4D4B-AB62-AFC992E2FD34}" uniqueName="3" name="strategy_args" queryTableFieldId="3" dataDxfId="25" totalsRowDxfId="24"/>
    <tableColumn id="4" xr3:uid="{546E117B-1E27-4E24-AF21-88DC884A33E5}" uniqueName="4" name="model_params" queryTableFieldId="4" dataDxfId="23" totalsRowDxfId="22"/>
    <tableColumn id="5" xr3:uid="{0BEB6EC8-EC38-4943-A901-95094A39193E}" uniqueName="5" name="mae" totalsRowFunction="average" queryTableFieldId="5"/>
    <tableColumn id="6" xr3:uid="{99F04409-2DC6-48AF-BE29-BEF4E72214EF}" uniqueName="6" name="rmse" totalsRowFunction="average" queryTableFieldId="6"/>
    <tableColumn id="7" xr3:uid="{9315506D-7C8C-4FFA-A3B9-74BB9E5AC44A}" uniqueName="7" name="file_name" queryTableFieldId="7" dataDxfId="21"/>
    <tableColumn id="8" xr3:uid="{0B93F9D1-E65F-4A8E-80A4-A2077825956F}" uniqueName="8" name="fit_time" totalsRowFunction="average" queryTableFieldId="8"/>
    <tableColumn id="9" xr3:uid="{69BD169B-0A51-4A70-8E88-557E5FC9AF97}" uniqueName="9" name="inference_time" totalsRowFunction="average" queryTableFieldId="9"/>
    <tableColumn id="10" xr3:uid="{06ECB6FE-7F64-4055-BFFB-5B4DE68E5D1A}" uniqueName="10" name="actual_data" queryTableFieldId="10"/>
    <tableColumn id="11" xr3:uid="{73745F8E-D272-4FC9-BF57-BFF7227E49B3}" uniqueName="11" name="inference_data" queryTableFieldId="11"/>
    <tableColumn id="12" xr3:uid="{E95CE1EB-BCF7-4F9E-A6DD-6D37AE91C2B3}" uniqueName="12" name="log_info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DE252-87E3-48D7-BA14-2E5BB4D21F38}" name="d24_" displayName="d24_" ref="A1:K10" tableType="queryTable" totalsRowCount="1">
  <autoFilter ref="A1:K9" xr:uid="{E85DE252-87E3-48D7-BA14-2E5BB4D21F38}"/>
  <tableColumns count="11">
    <tableColumn id="2" xr3:uid="{5EADA347-EE40-4016-883E-845C5592B030}" uniqueName="2" name="model_name" queryTableFieldId="2" dataDxfId="20" totalsRowDxfId="19"/>
    <tableColumn id="3" xr3:uid="{68561C36-5B83-459B-9D01-A5B3DFEAEE21}" uniqueName="3" name="strategy_args" queryTableFieldId="3" dataDxfId="18" totalsRowDxfId="17"/>
    <tableColumn id="4" xr3:uid="{0C5AD1D8-C97C-4D7A-8FF3-97BAD85AFE37}" uniqueName="4" name="model_params" queryTableFieldId="4" dataDxfId="16" totalsRowDxfId="15"/>
    <tableColumn id="5" xr3:uid="{6896A9C4-D17B-44BE-A73C-C3B8850B5566}" uniqueName="5" name="mae" totalsRowFunction="average" queryTableFieldId="5"/>
    <tableColumn id="6" xr3:uid="{E8226323-7FAF-4D55-A66F-BE6E860074C8}" uniqueName="6" name="rmse" totalsRowFunction="average" queryTableFieldId="6"/>
    <tableColumn id="7" xr3:uid="{B7C71D6A-757E-467F-B8C0-35E932C2A31C}" uniqueName="7" name="file_name" queryTableFieldId="7" dataDxfId="14"/>
    <tableColumn id="8" xr3:uid="{307110AD-F87F-4525-B459-27E08A08B0DC}" uniqueName="8" name="fit_time" totalsRowFunction="average" queryTableFieldId="8"/>
    <tableColumn id="9" xr3:uid="{2BCDF99E-A4A8-4B27-A7E0-E76C4D79B6C7}" uniqueName="9" name="inference_time" totalsRowFunction="average" queryTableFieldId="9"/>
    <tableColumn id="10" xr3:uid="{31801780-C576-4435-9A5C-7A4414EDA8FD}" uniqueName="10" name="actual_data" queryTableFieldId="10"/>
    <tableColumn id="11" xr3:uid="{1369BFF1-CC65-4978-ACDB-A1C6B4AF8A69}" uniqueName="11" name="inference_data" queryTableFieldId="11"/>
    <tableColumn id="12" xr3:uid="{24A6C3EB-267B-4EB4-8BC3-06591ABF1B4F}" uniqueName="12" name="log_info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BCCABE-6608-42D1-AFF6-9E3C1D1335BF}" name="d36_" displayName="d36_" ref="A1:K10" tableType="queryTable" totalsRowCount="1">
  <autoFilter ref="A1:K9" xr:uid="{53BCCABE-6608-42D1-AFF6-9E3C1D1335BF}"/>
  <tableColumns count="11">
    <tableColumn id="2" xr3:uid="{A43B820F-255E-4F12-AE40-B2C3122C56FE}" uniqueName="2" name="model_name" queryTableFieldId="2" dataDxfId="13" totalsRowDxfId="12"/>
    <tableColumn id="3" xr3:uid="{3ED6FC84-0BDE-41C4-AD38-A5A782ED966A}" uniqueName="3" name="strategy_args" queryTableFieldId="3" dataDxfId="11" totalsRowDxfId="10"/>
    <tableColumn id="4" xr3:uid="{F6F9E08D-53B0-4748-A272-041DD38328A7}" uniqueName="4" name="model_params" queryTableFieldId="4" dataDxfId="9" totalsRowDxfId="8"/>
    <tableColumn id="5" xr3:uid="{B5E24831-0080-41C0-8C95-AEB214F2CC9F}" uniqueName="5" name="mae" totalsRowFunction="average" queryTableFieldId="5"/>
    <tableColumn id="6" xr3:uid="{7A30A8A1-0951-484F-AA72-99508948CD6B}" uniqueName="6" name="rmse" totalsRowFunction="average" queryTableFieldId="6"/>
    <tableColumn id="7" xr3:uid="{708EB350-208F-4111-B8AD-A3010B9E6EA6}" uniqueName="7" name="file_name" queryTableFieldId="7" dataDxfId="7"/>
    <tableColumn id="8" xr3:uid="{4337F824-B1AC-4D9E-B19F-A6FCCD5D336A}" uniqueName="8" name="fit_time" totalsRowFunction="average" queryTableFieldId="8"/>
    <tableColumn id="9" xr3:uid="{7AA0D9AB-9B1E-4E18-8EFB-D6D0A898396A}" uniqueName="9" name="inference_time" totalsRowFunction="average" queryTableFieldId="9"/>
    <tableColumn id="10" xr3:uid="{F03BAB4B-8A11-400C-9ED0-3E325561BB18}" uniqueName="10" name="actual_data" queryTableFieldId="10"/>
    <tableColumn id="11" xr3:uid="{2AF6786B-EC19-413E-8328-48FAB87ECE91}" uniqueName="11" name="inference_data" queryTableFieldId="11"/>
    <tableColumn id="12" xr3:uid="{E902A683-F66E-41B4-A891-6F75FCDBC100}" uniqueName="12" name="log_info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68B998-9F7C-42A7-9024-7374AD80381E}" name="d48_" displayName="d48_" ref="A1:K10" tableType="queryTable" totalsRowCount="1">
  <autoFilter ref="A1:K9" xr:uid="{3868B998-9F7C-42A7-9024-7374AD80381E}"/>
  <tableColumns count="11">
    <tableColumn id="2" xr3:uid="{2936E44D-693D-45BB-B10C-959E63C61FEC}" uniqueName="2" name="model_name" queryTableFieldId="2" dataDxfId="6" totalsRowDxfId="5"/>
    <tableColumn id="3" xr3:uid="{E312E4FE-93E3-41F8-8D98-1831EF6D07C1}" uniqueName="3" name="strategy_args" queryTableFieldId="3" dataDxfId="4" totalsRowDxfId="3"/>
    <tableColumn id="4" xr3:uid="{E3497126-74F9-4B06-A950-919D8F073DD0}" uniqueName="4" name="model_params" queryTableFieldId="4" dataDxfId="2" totalsRowDxfId="1"/>
    <tableColumn id="5" xr3:uid="{1CDB3668-6698-4465-878B-7375DD522003}" uniqueName="5" name="mae" totalsRowFunction="average" queryTableFieldId="5"/>
    <tableColumn id="6" xr3:uid="{4D9F897C-B065-4B56-A98F-CABD6FAC3E3A}" uniqueName="6" name="rmse" totalsRowFunction="average" queryTableFieldId="6"/>
    <tableColumn id="7" xr3:uid="{7008A0BC-3F4A-4BD8-9AD1-0BB78D605EAB}" uniqueName="7" name="file_name" queryTableFieldId="7" dataDxfId="0"/>
    <tableColumn id="8" xr3:uid="{844E182A-30F8-4FC9-97FD-CAB92C63F1C3}" uniqueName="8" name="fit_time" totalsRowFunction="average" queryTableFieldId="8"/>
    <tableColumn id="9" xr3:uid="{454A7848-A03A-461A-AC07-4A54CB25D97B}" uniqueName="9" name="inference_time" totalsRowFunction="average" queryTableFieldId="9"/>
    <tableColumn id="10" xr3:uid="{21AAAC7E-9A20-4441-8707-3C8884CA12E1}" uniqueName="10" name="actual_data" queryTableFieldId="10"/>
    <tableColumn id="11" xr3:uid="{9F6A9A7F-B3D8-49F0-A3DD-FBEB97EE663D}" uniqueName="11" name="inference_data" queryTableFieldId="11"/>
    <tableColumn id="12" xr3:uid="{CFD2EA2D-9654-4851-8371-7B8985E493D7}" uniqueName="12" name="log_inf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F6BD-704B-44C4-AB0D-8F2018DBFC95}">
  <dimension ref="A1:K10"/>
  <sheetViews>
    <sheetView workbookViewId="0">
      <selection activeCell="E33" sqref="E33"/>
    </sheetView>
  </sheetViews>
  <sheetFormatPr defaultRowHeight="14"/>
  <cols>
    <col min="1" max="1" width="14" bestFit="1" customWidth="1"/>
    <col min="2" max="2" width="12.08203125" customWidth="1"/>
    <col min="3" max="3" width="13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>
        <v>0.34985472749650071</v>
      </c>
      <c r="E2">
        <v>0.59699778970581163</v>
      </c>
      <c r="F2" s="1" t="s">
        <v>14</v>
      </c>
      <c r="G2">
        <v>3555.0486025810242</v>
      </c>
      <c r="H2">
        <v>0.2080531120300293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12</v>
      </c>
      <c r="C3" s="1" t="s">
        <v>13</v>
      </c>
      <c r="D3">
        <v>0.37328950432152691</v>
      </c>
      <c r="E3">
        <v>0.59886212933619065</v>
      </c>
      <c r="F3" s="1" t="s">
        <v>16</v>
      </c>
      <c r="G3">
        <v>3694.5484576225281</v>
      </c>
      <c r="H3">
        <v>0.19496655464172363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12</v>
      </c>
      <c r="C4" s="1" t="s">
        <v>13</v>
      </c>
      <c r="D4">
        <v>0.35246949017644758</v>
      </c>
      <c r="E4">
        <v>0.59900093862889625</v>
      </c>
      <c r="F4" s="1" t="s">
        <v>17</v>
      </c>
      <c r="G4">
        <v>3753.9750545024872</v>
      </c>
      <c r="H4">
        <v>0.19324803352355957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12</v>
      </c>
      <c r="C5" s="1" t="s">
        <v>13</v>
      </c>
      <c r="D5">
        <v>0.34045126100301193</v>
      </c>
      <c r="E5">
        <v>0.58266426012129846</v>
      </c>
      <c r="F5" s="1" t="s">
        <v>18</v>
      </c>
      <c r="G5">
        <v>3720.6009213924408</v>
      </c>
      <c r="H5">
        <v>0.19006752967834473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12</v>
      </c>
      <c r="C6" s="1" t="s">
        <v>13</v>
      </c>
      <c r="D6">
        <v>0.34102680563840726</v>
      </c>
      <c r="E6">
        <v>0.59558310217003729</v>
      </c>
      <c r="F6" s="1" t="s">
        <v>19</v>
      </c>
      <c r="G6">
        <v>3765.1452324390411</v>
      </c>
      <c r="H6">
        <v>0.19317865371704102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12</v>
      </c>
      <c r="C7" s="1" t="s">
        <v>13</v>
      </c>
      <c r="D7">
        <v>0.35048165850976765</v>
      </c>
      <c r="E7">
        <v>0.59882892771568663</v>
      </c>
      <c r="F7" s="1" t="s">
        <v>20</v>
      </c>
      <c r="G7">
        <v>3837.8634922504425</v>
      </c>
      <c r="H7">
        <v>0.20646286010742188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12</v>
      </c>
      <c r="C8" s="1" t="s">
        <v>13</v>
      </c>
      <c r="D8">
        <v>0.36877683003976347</v>
      </c>
      <c r="E8">
        <v>0.62873201044354432</v>
      </c>
      <c r="F8" s="1" t="s">
        <v>21</v>
      </c>
      <c r="G8">
        <v>4575.3366098403931</v>
      </c>
      <c r="H8">
        <v>0.19960522651672363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12</v>
      </c>
      <c r="C9" s="1" t="s">
        <v>13</v>
      </c>
      <c r="D9">
        <v>0.33501599653856251</v>
      </c>
      <c r="E9">
        <v>0.59425762833365114</v>
      </c>
      <c r="F9" s="1" t="s">
        <v>22</v>
      </c>
      <c r="G9">
        <v>4341.2372493743896</v>
      </c>
      <c r="H9">
        <v>0.21939945220947266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SUBTOTAL(101,d12_[mae])</f>
        <v>0.35142078421549855</v>
      </c>
      <c r="E10">
        <f>SUBTOTAL(101,d12_[rmse])</f>
        <v>0.59936584830688955</v>
      </c>
      <c r="G10">
        <f>SUBTOTAL(101,d12_[fit_time])</f>
        <v>3905.4694525003433</v>
      </c>
      <c r="H10">
        <f>SUBTOTAL(101,d12_[inference_time])</f>
        <v>0.20062267780303955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99E1-1FAB-4D09-8711-2BCD0114304A}">
  <dimension ref="A1:K10"/>
  <sheetViews>
    <sheetView workbookViewId="0">
      <selection activeCell="H10" activeCellId="3" sqref="D10 E10 G10 H10"/>
    </sheetView>
  </sheetViews>
  <sheetFormatPr defaultRowHeight="14"/>
  <cols>
    <col min="1" max="1" width="14" bestFit="1" customWidth="1"/>
    <col min="2" max="2" width="12.25" customWidth="1"/>
    <col min="3" max="3" width="13.41406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23</v>
      </c>
      <c r="C2" s="1" t="s">
        <v>24</v>
      </c>
      <c r="D2">
        <v>0.35412112957632247</v>
      </c>
      <c r="E2">
        <v>0.55232656557606152</v>
      </c>
      <c r="F2" s="1" t="s">
        <v>14</v>
      </c>
      <c r="G2">
        <v>3730.7904894351959</v>
      </c>
      <c r="H2">
        <v>0.26819396018981934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23</v>
      </c>
      <c r="C3" s="1" t="s">
        <v>24</v>
      </c>
      <c r="D3">
        <v>0.35680624975449121</v>
      </c>
      <c r="E3">
        <v>0.56937542909649275</v>
      </c>
      <c r="F3" s="1" t="s">
        <v>16</v>
      </c>
      <c r="G3">
        <v>3745.6784338951111</v>
      </c>
      <c r="H3">
        <v>0.25376439094543457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23</v>
      </c>
      <c r="C4" s="1" t="s">
        <v>24</v>
      </c>
      <c r="D4">
        <v>0.39128406949262912</v>
      </c>
      <c r="E4">
        <v>0.68529772713479131</v>
      </c>
      <c r="F4" s="1" t="s">
        <v>17</v>
      </c>
      <c r="G4">
        <v>3747.4378077983856</v>
      </c>
      <c r="H4">
        <v>0.26210236549377441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23</v>
      </c>
      <c r="C5" s="1" t="s">
        <v>24</v>
      </c>
      <c r="D5">
        <v>0.37996241424383509</v>
      </c>
      <c r="E5">
        <v>0.6649281707047362</v>
      </c>
      <c r="F5" s="1" t="s">
        <v>18</v>
      </c>
      <c r="G5">
        <v>5156.3318419456482</v>
      </c>
      <c r="H5">
        <v>0.26058340072631836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23</v>
      </c>
      <c r="C6" s="1" t="s">
        <v>24</v>
      </c>
      <c r="D6">
        <v>0.33301965228302766</v>
      </c>
      <c r="E6">
        <v>0.55051512798566393</v>
      </c>
      <c r="F6" s="1" t="s">
        <v>19</v>
      </c>
      <c r="G6">
        <v>3756.1117193698883</v>
      </c>
      <c r="H6">
        <v>0.27483439445495605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23</v>
      </c>
      <c r="C7" s="1" t="s">
        <v>24</v>
      </c>
      <c r="D7">
        <v>0.32031148991500902</v>
      </c>
      <c r="E7">
        <v>0.54314821194139529</v>
      </c>
      <c r="F7" s="1" t="s">
        <v>20</v>
      </c>
      <c r="G7">
        <v>4928.7628734111786</v>
      </c>
      <c r="H7">
        <v>0.27110576629638672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23</v>
      </c>
      <c r="C8" s="1" t="s">
        <v>24</v>
      </c>
      <c r="D8">
        <v>0.31623077893841722</v>
      </c>
      <c r="E8">
        <v>0.55360922391455136</v>
      </c>
      <c r="F8" s="1" t="s">
        <v>21</v>
      </c>
      <c r="G8">
        <v>4353.5177233219147</v>
      </c>
      <c r="H8">
        <v>0.24818873405456543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23</v>
      </c>
      <c r="C9" s="1" t="s">
        <v>24</v>
      </c>
      <c r="D9">
        <v>0.33018082494185985</v>
      </c>
      <c r="E9">
        <v>0.55517703367121274</v>
      </c>
      <c r="F9" s="1" t="s">
        <v>22</v>
      </c>
      <c r="G9">
        <v>5050.3663012981415</v>
      </c>
      <c r="H9">
        <v>0.293487548828125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SUBTOTAL(101,d24_[mae])</f>
        <v>0.34773957614319895</v>
      </c>
      <c r="E10">
        <f>SUBTOTAL(101,d24_[rmse])</f>
        <v>0.58429718625311322</v>
      </c>
      <c r="G10">
        <f>SUBTOTAL(101,d24_[fit_time])</f>
        <v>4308.624648809433</v>
      </c>
      <c r="H10">
        <f>SUBTOTAL(101,d24_[inference_time])</f>
        <v>0.26653257012367249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4C9A-086F-4C64-BD26-D59FAC099E2C}">
  <dimension ref="A1:K10"/>
  <sheetViews>
    <sheetView workbookViewId="0">
      <selection activeCell="H10" activeCellId="3" sqref="D10 E10 G10 H10"/>
    </sheetView>
  </sheetViews>
  <sheetFormatPr defaultRowHeight="14"/>
  <cols>
    <col min="1" max="1" width="14" bestFit="1" customWidth="1"/>
    <col min="2" max="2" width="12.1640625" customWidth="1"/>
    <col min="3" max="3" width="13.082031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25</v>
      </c>
      <c r="C2" s="1" t="s">
        <v>26</v>
      </c>
      <c r="D2">
        <v>0.35309530093996683</v>
      </c>
      <c r="E2">
        <v>0.56591363492374369</v>
      </c>
      <c r="F2" s="1" t="s">
        <v>14</v>
      </c>
      <c r="G2">
        <v>4363.7730920314789</v>
      </c>
      <c r="H2">
        <v>0.35139822959899902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25</v>
      </c>
      <c r="C3" s="1" t="s">
        <v>26</v>
      </c>
      <c r="D3">
        <v>0.34182152686089901</v>
      </c>
      <c r="E3">
        <v>0.58170675807248995</v>
      </c>
      <c r="F3" s="1" t="s">
        <v>16</v>
      </c>
      <c r="G3">
        <v>3740.2290148735046</v>
      </c>
      <c r="H3">
        <v>0.33072066307067871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25</v>
      </c>
      <c r="C4" s="1" t="s">
        <v>26</v>
      </c>
      <c r="D4">
        <v>0.30981093526297282</v>
      </c>
      <c r="E4">
        <v>0.52068285706079132</v>
      </c>
      <c r="F4" s="1" t="s">
        <v>17</v>
      </c>
      <c r="G4">
        <v>7121.7536392211914</v>
      </c>
      <c r="H4">
        <v>0.32231235504150391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25</v>
      </c>
      <c r="C5" s="1" t="s">
        <v>26</v>
      </c>
      <c r="D5">
        <v>0.34683970404668368</v>
      </c>
      <c r="E5">
        <v>0.55352095476613228</v>
      </c>
      <c r="F5" s="1" t="s">
        <v>18</v>
      </c>
      <c r="G5">
        <v>7748.5422394275665</v>
      </c>
      <c r="H5">
        <v>0.3152461051940918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25</v>
      </c>
      <c r="C6" s="1" t="s">
        <v>26</v>
      </c>
      <c r="D6">
        <v>0.31201227388098296</v>
      </c>
      <c r="E6">
        <v>0.52566714529744107</v>
      </c>
      <c r="F6" s="1" t="s">
        <v>19</v>
      </c>
      <c r="G6">
        <v>3910.6950862407684</v>
      </c>
      <c r="H6">
        <v>0.33057522773742676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25</v>
      </c>
      <c r="C7" s="1" t="s">
        <v>26</v>
      </c>
      <c r="D7">
        <v>0.29721292982641806</v>
      </c>
      <c r="E7">
        <v>0.52059050198303924</v>
      </c>
      <c r="F7" s="1" t="s">
        <v>20</v>
      </c>
      <c r="G7">
        <v>4515.1535906791687</v>
      </c>
      <c r="H7">
        <v>0.31513261795043945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25</v>
      </c>
      <c r="C8" s="1" t="s">
        <v>26</v>
      </c>
      <c r="D8">
        <v>0.30673925488329212</v>
      </c>
      <c r="E8">
        <v>0.51516624366223152</v>
      </c>
      <c r="F8" s="1" t="s">
        <v>21</v>
      </c>
      <c r="G8">
        <v>3926.6397202014923</v>
      </c>
      <c r="H8">
        <v>0.31953692436218262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25</v>
      </c>
      <c r="C9" s="1" t="s">
        <v>26</v>
      </c>
      <c r="D9">
        <v>0.29938324468631866</v>
      </c>
      <c r="E9">
        <v>0.54355442083689953</v>
      </c>
      <c r="F9" s="1" t="s">
        <v>22</v>
      </c>
      <c r="G9">
        <v>3434.8992691040039</v>
      </c>
      <c r="H9">
        <v>0.33020496368408203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SUBTOTAL(101,d36_[mae])</f>
        <v>0.32086439629844177</v>
      </c>
      <c r="E10">
        <f>SUBTOTAL(101,d36_[rmse])</f>
        <v>0.54085031457534616</v>
      </c>
      <c r="G10">
        <f>SUBTOTAL(101,d36_[fit_time])</f>
        <v>4845.2107064723969</v>
      </c>
      <c r="H10">
        <f>SUBTOTAL(101,d36_[inference_time])</f>
        <v>0.32689088582992554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D0AB-2939-420E-B87A-F73DB4AF0395}">
  <dimension ref="A1:K10"/>
  <sheetViews>
    <sheetView workbookViewId="0">
      <selection activeCell="D34" sqref="D34"/>
    </sheetView>
  </sheetViews>
  <sheetFormatPr defaultRowHeight="14"/>
  <cols>
    <col min="1" max="1" width="14" bestFit="1" customWidth="1"/>
    <col min="2" max="2" width="12.08203125" customWidth="1"/>
    <col min="3" max="3" width="13.16406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27</v>
      </c>
      <c r="C2" s="1" t="s">
        <v>28</v>
      </c>
      <c r="D2">
        <v>0.41095199726565007</v>
      </c>
      <c r="E2">
        <v>0.61987511150176799</v>
      </c>
      <c r="F2" s="1" t="s">
        <v>14</v>
      </c>
      <c r="G2">
        <v>3299.9478440284729</v>
      </c>
      <c r="H2">
        <v>0.38203263282775879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27</v>
      </c>
      <c r="C3" s="1" t="s">
        <v>28</v>
      </c>
      <c r="D3">
        <v>0.40318370245765595</v>
      </c>
      <c r="E3">
        <v>0.64070608758097469</v>
      </c>
      <c r="F3" s="1" t="s">
        <v>16</v>
      </c>
      <c r="G3">
        <v>6613.9830598831177</v>
      </c>
      <c r="H3">
        <v>0.38238739967346191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27</v>
      </c>
      <c r="C4" s="1" t="s">
        <v>28</v>
      </c>
      <c r="D4">
        <v>0.39214918993906572</v>
      </c>
      <c r="E4">
        <v>0.61776962636854227</v>
      </c>
      <c r="F4" s="1" t="s">
        <v>17</v>
      </c>
      <c r="G4">
        <v>3409.2465496063232</v>
      </c>
      <c r="H4">
        <v>0.3750154972076416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27</v>
      </c>
      <c r="C5" s="1" t="s">
        <v>28</v>
      </c>
      <c r="D5">
        <v>0.33222917593033574</v>
      </c>
      <c r="E5">
        <v>0.56960858951677196</v>
      </c>
      <c r="F5" s="1" t="s">
        <v>18</v>
      </c>
      <c r="G5">
        <v>4023.1394164562225</v>
      </c>
      <c r="H5">
        <v>0.40907478332519531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27</v>
      </c>
      <c r="C6" s="1" t="s">
        <v>28</v>
      </c>
      <c r="D6">
        <v>0.39728873711296886</v>
      </c>
      <c r="E6">
        <v>0.64310057450305302</v>
      </c>
      <c r="F6" s="1" t="s">
        <v>19</v>
      </c>
      <c r="G6">
        <v>4089.428567647934</v>
      </c>
      <c r="H6">
        <v>0.38473844528198242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27</v>
      </c>
      <c r="C7" s="1" t="s">
        <v>28</v>
      </c>
      <c r="D7">
        <v>0.34985605796284458</v>
      </c>
      <c r="E7">
        <v>0.59895163361387493</v>
      </c>
      <c r="F7" s="1" t="s">
        <v>20</v>
      </c>
      <c r="G7">
        <v>4205.4305143356323</v>
      </c>
      <c r="H7">
        <v>0.39101052284240723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27</v>
      </c>
      <c r="C8" s="1" t="s">
        <v>28</v>
      </c>
      <c r="D8">
        <v>0.34622366405570015</v>
      </c>
      <c r="E8">
        <v>0.5949167676700412</v>
      </c>
      <c r="F8" s="1" t="s">
        <v>21</v>
      </c>
      <c r="G8">
        <v>4879.3809354305267</v>
      </c>
      <c r="H8">
        <v>0.39930939674377441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27</v>
      </c>
      <c r="C9" s="1" t="s">
        <v>28</v>
      </c>
      <c r="D9">
        <v>0.33820278169392359</v>
      </c>
      <c r="E9">
        <v>0.58135796521202754</v>
      </c>
      <c r="F9" s="1" t="s">
        <v>22</v>
      </c>
      <c r="G9">
        <v>4864.5453722476959</v>
      </c>
      <c r="H9">
        <v>0.38689494132995605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SUBTOTAL(101,d48_[mae])</f>
        <v>0.37126066330226815</v>
      </c>
      <c r="E10">
        <f>SUBTOTAL(101,d48_[rmse])</f>
        <v>0.6082857944958816</v>
      </c>
      <c r="G10">
        <f>SUBTOTAL(101,d48_[fit_time])</f>
        <v>4423.1377824544907</v>
      </c>
      <c r="H10">
        <f>SUBTOTAL(101,d48_[inference_time])</f>
        <v>0.38880795240402222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M13" sqref="M13"/>
    </sheetView>
  </sheetViews>
  <sheetFormatPr defaultRowHeight="14"/>
  <sheetData>
    <row r="1" spans="1:6" ht="14.5" thickBot="1">
      <c r="A1" t="s">
        <v>0</v>
      </c>
      <c r="B1" t="s">
        <v>29</v>
      </c>
      <c r="C1" t="s">
        <v>3</v>
      </c>
      <c r="D1" t="s">
        <v>4</v>
      </c>
      <c r="E1" t="s">
        <v>6</v>
      </c>
      <c r="F1" t="s">
        <v>7</v>
      </c>
    </row>
    <row r="2" spans="1:6" ht="15" thickTop="1" thickBot="1">
      <c r="A2" s="2" t="s">
        <v>11</v>
      </c>
      <c r="B2" t="s">
        <v>30</v>
      </c>
      <c r="C2" s="3">
        <v>0.35142078421549855</v>
      </c>
      <c r="D2" s="3">
        <v>0.59936584830688955</v>
      </c>
      <c r="E2" s="3">
        <v>3905.4694525003433</v>
      </c>
      <c r="F2" s="3">
        <v>0.20062267780303955</v>
      </c>
    </row>
    <row r="3" spans="1:6" ht="15" thickTop="1" thickBot="1">
      <c r="A3" s="2" t="s">
        <v>11</v>
      </c>
      <c r="B3" t="s">
        <v>31</v>
      </c>
      <c r="C3" s="3">
        <v>0.34773957614319895</v>
      </c>
      <c r="D3" s="3">
        <v>0.58429718625311322</v>
      </c>
      <c r="E3" s="3">
        <v>4308.624648809433</v>
      </c>
      <c r="F3" s="3">
        <v>0.26653257012367249</v>
      </c>
    </row>
    <row r="4" spans="1:6" ht="15" thickTop="1" thickBot="1">
      <c r="A4" s="2" t="s">
        <v>11</v>
      </c>
      <c r="B4" t="s">
        <v>32</v>
      </c>
      <c r="C4" s="3">
        <v>0.32086439629844177</v>
      </c>
      <c r="D4" s="3">
        <v>0.54085031457534616</v>
      </c>
      <c r="E4" s="3">
        <v>4845.2107064723969</v>
      </c>
      <c r="F4" s="3">
        <v>0.32689088582992554</v>
      </c>
    </row>
    <row r="5" spans="1:6" ht="14.5" thickTop="1">
      <c r="A5" s="2" t="s">
        <v>11</v>
      </c>
      <c r="B5" t="s">
        <v>33</v>
      </c>
      <c r="C5" s="3">
        <v>0.37126066330226815</v>
      </c>
      <c r="D5" s="3">
        <v>0.6082857944958816</v>
      </c>
      <c r="E5" s="3">
        <v>4423.1377824544907</v>
      </c>
      <c r="F5" s="3">
        <v>0.38880795240402222</v>
      </c>
    </row>
    <row r="6" spans="1:6">
      <c r="A6" s="2" t="s">
        <v>11</v>
      </c>
      <c r="B6" t="s">
        <v>34</v>
      </c>
      <c r="C6" s="4">
        <f>AVERAGE(C2:C5)</f>
        <v>0.34782135498985189</v>
      </c>
      <c r="D6" s="4">
        <f t="shared" ref="D6:F6" si="0">AVERAGE(D2:D5)</f>
        <v>0.58319978590780763</v>
      </c>
      <c r="E6" s="4">
        <f t="shared" si="0"/>
        <v>4370.610647559166</v>
      </c>
      <c r="F6" s="4">
        <f t="shared" si="0"/>
        <v>0.29571352154016495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8C161-663E-4429-9C45-436E926310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2015-06-05T18:17:20Z</dcterms:created>
  <dcterms:modified xsi:type="dcterms:W3CDTF">2026-07-14T06:00:11Z</dcterms:modified>
</cp:coreProperties>
</file>